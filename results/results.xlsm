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6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pivotTables/pivotTable9.xml" ContentType="application/vnd.openxmlformats-officedocument.spreadsheetml.pivotTable+xml"/>
  <Override PartName="/xl/drawings/drawing7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pivotTables/pivotTable10.xml" ContentType="application/vnd.openxmlformats-officedocument.spreadsheetml.pivotTab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0" yWindow="0" windowWidth="25600" windowHeight="15520" tabRatio="500" firstSheet="4" activeTab="12"/>
  </bookViews>
  <sheets>
    <sheet name="Main" sheetId="1" r:id="rId1"/>
    <sheet name="GRU" sheetId="21" state="hidden" r:id="rId2"/>
    <sheet name="Revised" sheetId="22" state="hidden" r:id="rId3"/>
    <sheet name="Std_Dev" sheetId="16" r:id="rId4"/>
    <sheet name="Cell Type" sheetId="10" r:id="rId5"/>
    <sheet name="Multilayer" sheetId="15" state="hidden" r:id="rId6"/>
    <sheet name="Input" sheetId="14" r:id="rId7"/>
    <sheet name="Cell Count" sheetId="19" r:id="rId8"/>
    <sheet name="Cell_Count_LSTM" sheetId="20" state="hidden" r:id="rId9"/>
    <sheet name="Cell_Count_GRU" sheetId="18" state="hidden" r:id="rId10"/>
    <sheet name="Recurrent" sheetId="12" r:id="rId11"/>
    <sheet name="Optimizer" sheetId="9" r:id="rId12"/>
    <sheet name="Conclusion" sheetId="11" r:id="rId13"/>
    <sheet name="Raw Values" sheetId="2" state="hidden" r:id="rId14"/>
    <sheet name="Raw Settings" sheetId="8" state="hidden" r:id="rId15"/>
    <sheet name="Sheet9" sheetId="24" r:id="rId16"/>
    <sheet name="Sheet8" sheetId="23" r:id="rId17"/>
  </sheets>
  <definedNames>
    <definedName name="_xlnm._FilterDatabase" localSheetId="1" hidden="1">GRU!$A$1:$L$217</definedName>
    <definedName name="_xlnm._FilterDatabase" localSheetId="0" hidden="1">Main!$A$1:$L$643</definedName>
    <definedName name="_xlnm._FilterDatabase" localSheetId="2" hidden="1">Revised!$A$1:$L$433</definedName>
  </definedNames>
  <calcPr calcId="140000" concurrentCalc="0"/>
  <pivotCaches>
    <pivotCache cacheId="1" r:id="rId18"/>
    <pivotCache cacheId="25" r:id="rId19"/>
    <pivotCache cacheId="29" r:id="rId20"/>
    <pivotCache cacheId="32" r:id="rId21"/>
    <pivotCache cacheId="45" r:id="rId22"/>
  </pivotCache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4" i="16" l="1"/>
  <c r="M4" i="16"/>
  <c r="AA10" i="20"/>
  <c r="Z10" i="20"/>
  <c r="Y10" i="20"/>
  <c r="X10" i="20"/>
  <c r="W10" i="20"/>
  <c r="V10" i="20"/>
  <c r="U10" i="20"/>
  <c r="T10" i="20"/>
  <c r="S10" i="20"/>
  <c r="R10" i="20"/>
  <c r="Q10" i="20"/>
  <c r="P10" i="20"/>
  <c r="O10" i="20"/>
  <c r="N10" i="20"/>
  <c r="M10" i="20"/>
  <c r="L10" i="20"/>
  <c r="K10" i="20"/>
  <c r="J10" i="20"/>
  <c r="AA9" i="20"/>
  <c r="Z9" i="20"/>
  <c r="Y9" i="20"/>
  <c r="X9" i="20"/>
  <c r="W9" i="20"/>
  <c r="V9" i="20"/>
  <c r="U9" i="20"/>
  <c r="T9" i="20"/>
  <c r="S9" i="20"/>
  <c r="R9" i="20"/>
  <c r="Q9" i="20"/>
  <c r="P9" i="20"/>
  <c r="O9" i="20"/>
  <c r="N9" i="20"/>
  <c r="M9" i="20"/>
  <c r="L9" i="20"/>
  <c r="K9" i="20"/>
  <c r="J9" i="20"/>
  <c r="AA8" i="20"/>
  <c r="Z8" i="20"/>
  <c r="Y8" i="20"/>
  <c r="X8" i="20"/>
  <c r="W8" i="20"/>
  <c r="V8" i="20"/>
  <c r="U8" i="20"/>
  <c r="T8" i="20"/>
  <c r="S8" i="20"/>
  <c r="R8" i="20"/>
  <c r="Q8" i="20"/>
  <c r="P8" i="20"/>
  <c r="O8" i="20"/>
  <c r="N8" i="20"/>
  <c r="M8" i="20"/>
  <c r="L8" i="20"/>
  <c r="K8" i="20"/>
  <c r="J8" i="20"/>
  <c r="AA7" i="20"/>
  <c r="Z7" i="20"/>
  <c r="Y7" i="20"/>
  <c r="X7" i="20"/>
  <c r="W7" i="20"/>
  <c r="V7" i="20"/>
  <c r="U7" i="20"/>
  <c r="T7" i="20"/>
  <c r="S7" i="20"/>
  <c r="R7" i="20"/>
  <c r="Q7" i="20"/>
  <c r="P7" i="20"/>
  <c r="O7" i="20"/>
  <c r="N7" i="20"/>
  <c r="M7" i="20"/>
  <c r="L7" i="20"/>
  <c r="K7" i="20"/>
  <c r="J7" i="20"/>
  <c r="AA6" i="20"/>
  <c r="Z6" i="20"/>
  <c r="Y6" i="20"/>
  <c r="X6" i="20"/>
  <c r="W6" i="20"/>
  <c r="V6" i="20"/>
  <c r="U6" i="20"/>
  <c r="T6" i="20"/>
  <c r="S6" i="20"/>
  <c r="R6" i="20"/>
  <c r="Q6" i="20"/>
  <c r="P6" i="20"/>
  <c r="O6" i="20"/>
  <c r="N6" i="20"/>
  <c r="M6" i="20"/>
  <c r="L6" i="20"/>
  <c r="K6" i="20"/>
  <c r="J6" i="20"/>
  <c r="AA5" i="20"/>
  <c r="Z5" i="20"/>
  <c r="Y5" i="20"/>
  <c r="X5" i="20"/>
  <c r="W5" i="20"/>
  <c r="V5" i="20"/>
  <c r="U5" i="20"/>
  <c r="T5" i="20"/>
  <c r="S5" i="20"/>
  <c r="R5" i="20"/>
  <c r="Q5" i="20"/>
  <c r="P5" i="20"/>
  <c r="O5" i="20"/>
  <c r="N5" i="20"/>
  <c r="M5" i="20"/>
  <c r="L5" i="20"/>
  <c r="K5" i="20"/>
  <c r="J5" i="20"/>
  <c r="AA4" i="20"/>
  <c r="Z4" i="20"/>
  <c r="Y4" i="20"/>
  <c r="X4" i="20"/>
  <c r="W4" i="20"/>
  <c r="V4" i="20"/>
  <c r="U4" i="20"/>
  <c r="T4" i="20"/>
  <c r="S4" i="20"/>
  <c r="R4" i="20"/>
  <c r="Q4" i="20"/>
  <c r="P4" i="20"/>
  <c r="O4" i="20"/>
  <c r="N4" i="20"/>
  <c r="M4" i="20"/>
  <c r="L4" i="20"/>
  <c r="K4" i="20"/>
  <c r="J4" i="20"/>
  <c r="AA10" i="19"/>
  <c r="Z10" i="19"/>
  <c r="Y10" i="19"/>
  <c r="X10" i="19"/>
  <c r="W10" i="19"/>
  <c r="V10" i="19"/>
  <c r="U10" i="19"/>
  <c r="T10" i="19"/>
  <c r="S10" i="19"/>
  <c r="R10" i="19"/>
  <c r="Q10" i="19"/>
  <c r="P10" i="19"/>
  <c r="O10" i="19"/>
  <c r="N10" i="19"/>
  <c r="M10" i="19"/>
  <c r="L10" i="19"/>
  <c r="K10" i="19"/>
  <c r="J10" i="19"/>
  <c r="AA9" i="19"/>
  <c r="Z9" i="19"/>
  <c r="Y9" i="19"/>
  <c r="X9" i="19"/>
  <c r="W9" i="19"/>
  <c r="V9" i="19"/>
  <c r="U9" i="19"/>
  <c r="T9" i="19"/>
  <c r="S9" i="19"/>
  <c r="R9" i="19"/>
  <c r="Q9" i="19"/>
  <c r="P9" i="19"/>
  <c r="O9" i="19"/>
  <c r="N9" i="19"/>
  <c r="M9" i="19"/>
  <c r="L9" i="19"/>
  <c r="K9" i="19"/>
  <c r="J9" i="19"/>
  <c r="AA8" i="19"/>
  <c r="Z8" i="19"/>
  <c r="Y8" i="19"/>
  <c r="X8" i="19"/>
  <c r="W8" i="19"/>
  <c r="V8" i="19"/>
  <c r="U8" i="19"/>
  <c r="T8" i="19"/>
  <c r="S8" i="19"/>
  <c r="R8" i="19"/>
  <c r="Q8" i="19"/>
  <c r="P8" i="19"/>
  <c r="O8" i="19"/>
  <c r="N8" i="19"/>
  <c r="M8" i="19"/>
  <c r="L8" i="19"/>
  <c r="K8" i="19"/>
  <c r="J8" i="19"/>
  <c r="AA7" i="19"/>
  <c r="Z7" i="19"/>
  <c r="Y7" i="19"/>
  <c r="X7" i="19"/>
  <c r="W7" i="19"/>
  <c r="V7" i="19"/>
  <c r="U7" i="19"/>
  <c r="T7" i="19"/>
  <c r="S7" i="19"/>
  <c r="R7" i="19"/>
  <c r="Q7" i="19"/>
  <c r="P7" i="19"/>
  <c r="O7" i="19"/>
  <c r="N7" i="19"/>
  <c r="M7" i="19"/>
  <c r="L7" i="19"/>
  <c r="K7" i="19"/>
  <c r="J7" i="19"/>
  <c r="AA6" i="19"/>
  <c r="Z6" i="19"/>
  <c r="Y6" i="19"/>
  <c r="X6" i="19"/>
  <c r="W6" i="19"/>
  <c r="V6" i="19"/>
  <c r="U6" i="19"/>
  <c r="T6" i="19"/>
  <c r="S6" i="19"/>
  <c r="R6" i="19"/>
  <c r="Q6" i="19"/>
  <c r="P6" i="19"/>
  <c r="O6" i="19"/>
  <c r="N6" i="19"/>
  <c r="M6" i="19"/>
  <c r="L6" i="19"/>
  <c r="K6" i="19"/>
  <c r="J6" i="19"/>
  <c r="AA5" i="19"/>
  <c r="Z5" i="19"/>
  <c r="Y5" i="19"/>
  <c r="X5" i="19"/>
  <c r="W5" i="19"/>
  <c r="V5" i="19"/>
  <c r="U5" i="19"/>
  <c r="T5" i="19"/>
  <c r="S5" i="19"/>
  <c r="R5" i="19"/>
  <c r="Q5" i="19"/>
  <c r="P5" i="19"/>
  <c r="O5" i="19"/>
  <c r="N5" i="19"/>
  <c r="M5" i="19"/>
  <c r="L5" i="19"/>
  <c r="K5" i="19"/>
  <c r="J5" i="19"/>
  <c r="AA4" i="19"/>
  <c r="Z4" i="19"/>
  <c r="Y4" i="19"/>
  <c r="X4" i="19"/>
  <c r="W4" i="19"/>
  <c r="V4" i="19"/>
  <c r="U4" i="19"/>
  <c r="T4" i="19"/>
  <c r="S4" i="19"/>
  <c r="R4" i="19"/>
  <c r="Q4" i="19"/>
  <c r="P4" i="19"/>
  <c r="O4" i="19"/>
  <c r="N4" i="19"/>
  <c r="M4" i="19"/>
  <c r="L4" i="19"/>
  <c r="K4" i="19"/>
  <c r="J4" i="19"/>
  <c r="AA10" i="18"/>
  <c r="Z10" i="18"/>
  <c r="Y10" i="18"/>
  <c r="X10" i="18"/>
  <c r="W10" i="18"/>
  <c r="V10" i="18"/>
  <c r="U10" i="18"/>
  <c r="T10" i="18"/>
  <c r="S10" i="18"/>
  <c r="R10" i="18"/>
  <c r="Q10" i="18"/>
  <c r="P10" i="18"/>
  <c r="O10" i="18"/>
  <c r="N10" i="18"/>
  <c r="M10" i="18"/>
  <c r="L10" i="18"/>
  <c r="K10" i="18"/>
  <c r="J10" i="18"/>
  <c r="AA9" i="18"/>
  <c r="Z9" i="18"/>
  <c r="Y9" i="18"/>
  <c r="X9" i="18"/>
  <c r="W9" i="18"/>
  <c r="V9" i="18"/>
  <c r="U9" i="18"/>
  <c r="T9" i="18"/>
  <c r="S9" i="18"/>
  <c r="R9" i="18"/>
  <c r="Q9" i="18"/>
  <c r="P9" i="18"/>
  <c r="O9" i="18"/>
  <c r="N9" i="18"/>
  <c r="M9" i="18"/>
  <c r="L9" i="18"/>
  <c r="K9" i="18"/>
  <c r="J9" i="18"/>
  <c r="AA8" i="18"/>
  <c r="Z8" i="18"/>
  <c r="Y8" i="18"/>
  <c r="X8" i="18"/>
  <c r="W8" i="18"/>
  <c r="V8" i="18"/>
  <c r="U8" i="18"/>
  <c r="T8" i="18"/>
  <c r="S8" i="18"/>
  <c r="R8" i="18"/>
  <c r="Q8" i="18"/>
  <c r="P8" i="18"/>
  <c r="O8" i="18"/>
  <c r="N8" i="18"/>
  <c r="M8" i="18"/>
  <c r="L8" i="18"/>
  <c r="K8" i="18"/>
  <c r="J8" i="18"/>
  <c r="AA7" i="18"/>
  <c r="Z7" i="18"/>
  <c r="Y7" i="18"/>
  <c r="X7" i="18"/>
  <c r="W7" i="18"/>
  <c r="V7" i="18"/>
  <c r="U7" i="18"/>
  <c r="T7" i="18"/>
  <c r="S7" i="18"/>
  <c r="R7" i="18"/>
  <c r="Q7" i="18"/>
  <c r="P7" i="18"/>
  <c r="O7" i="18"/>
  <c r="N7" i="18"/>
  <c r="M7" i="18"/>
  <c r="L7" i="18"/>
  <c r="K7" i="18"/>
  <c r="J7" i="18"/>
  <c r="AA6" i="18"/>
  <c r="Z6" i="18"/>
  <c r="Y6" i="18"/>
  <c r="X6" i="18"/>
  <c r="W6" i="18"/>
  <c r="V6" i="18"/>
  <c r="U6" i="18"/>
  <c r="T6" i="18"/>
  <c r="S6" i="18"/>
  <c r="R6" i="18"/>
  <c r="Q6" i="18"/>
  <c r="P6" i="18"/>
  <c r="O6" i="18"/>
  <c r="N6" i="18"/>
  <c r="M6" i="18"/>
  <c r="L6" i="18"/>
  <c r="K6" i="18"/>
  <c r="J6" i="18"/>
  <c r="AA5" i="18"/>
  <c r="Z5" i="18"/>
  <c r="Y5" i="18"/>
  <c r="X5" i="18"/>
  <c r="W5" i="18"/>
  <c r="V5" i="18"/>
  <c r="U5" i="18"/>
  <c r="T5" i="18"/>
  <c r="S5" i="18"/>
  <c r="R5" i="18"/>
  <c r="Q5" i="18"/>
  <c r="P5" i="18"/>
  <c r="O5" i="18"/>
  <c r="N5" i="18"/>
  <c r="M5" i="18"/>
  <c r="L5" i="18"/>
  <c r="K5" i="18"/>
  <c r="J5" i="18"/>
  <c r="AA4" i="18"/>
  <c r="Z4" i="18"/>
  <c r="Y4" i="18"/>
  <c r="X4" i="18"/>
  <c r="W4" i="18"/>
  <c r="V4" i="18"/>
  <c r="U4" i="18"/>
  <c r="T4" i="18"/>
  <c r="S4" i="18"/>
  <c r="R4" i="18"/>
  <c r="Q4" i="18"/>
  <c r="P4" i="18"/>
  <c r="O4" i="18"/>
  <c r="N4" i="18"/>
  <c r="M4" i="18"/>
  <c r="L4" i="18"/>
  <c r="K4" i="18"/>
  <c r="J4" i="18"/>
  <c r="G4" i="2"/>
  <c r="T10" i="16"/>
  <c r="T9" i="16"/>
  <c r="T8" i="16"/>
  <c r="T7" i="16"/>
  <c r="T6" i="16"/>
  <c r="T5" i="16"/>
  <c r="R10" i="16"/>
  <c r="R9" i="16"/>
  <c r="R8" i="16"/>
  <c r="R7" i="16"/>
  <c r="R6" i="16"/>
  <c r="R5" i="16"/>
  <c r="Q10" i="16"/>
  <c r="Q9" i="16"/>
  <c r="Q8" i="16"/>
  <c r="Q7" i="16"/>
  <c r="Q6" i="16"/>
  <c r="Q5" i="16"/>
  <c r="O10" i="16"/>
  <c r="O9" i="16"/>
  <c r="O8" i="16"/>
  <c r="O7" i="16"/>
  <c r="O6" i="16"/>
  <c r="O5" i="16"/>
  <c r="N10" i="16"/>
  <c r="N9" i="16"/>
  <c r="N8" i="16"/>
  <c r="N7" i="16"/>
  <c r="N6" i="16"/>
  <c r="N5" i="16"/>
  <c r="L10" i="16"/>
  <c r="L9" i="16"/>
  <c r="L8" i="16"/>
  <c r="L7" i="16"/>
  <c r="L6" i="16"/>
  <c r="L5" i="16"/>
  <c r="K10" i="16"/>
  <c r="K9" i="16"/>
  <c r="K8" i="16"/>
  <c r="K7" i="16"/>
  <c r="K6" i="16"/>
  <c r="K5" i="16"/>
  <c r="I10" i="16"/>
  <c r="I9" i="16"/>
  <c r="I8" i="16"/>
  <c r="I7" i="16"/>
  <c r="I6" i="16"/>
  <c r="I5" i="16"/>
  <c r="S10" i="16"/>
  <c r="S9" i="16"/>
  <c r="S8" i="16"/>
  <c r="S7" i="16"/>
  <c r="S6" i="16"/>
  <c r="S5" i="16"/>
  <c r="P10" i="16"/>
  <c r="P9" i="16"/>
  <c r="P8" i="16"/>
  <c r="P7" i="16"/>
  <c r="P6" i="16"/>
  <c r="P5" i="16"/>
  <c r="M10" i="16"/>
  <c r="M9" i="16"/>
  <c r="M8" i="16"/>
  <c r="M7" i="16"/>
  <c r="M6" i="16"/>
  <c r="M5" i="16"/>
  <c r="J10" i="16"/>
  <c r="J9" i="16"/>
  <c r="J8" i="16"/>
  <c r="J7" i="16"/>
  <c r="J6" i="16"/>
  <c r="J5" i="16"/>
  <c r="J4" i="16"/>
  <c r="P4" i="16"/>
  <c r="U10" i="15"/>
  <c r="T10" i="15"/>
  <c r="S10" i="15"/>
  <c r="R10" i="15"/>
  <c r="Q10" i="15"/>
  <c r="P10" i="15"/>
  <c r="O10" i="15"/>
  <c r="N10" i="15"/>
  <c r="M10" i="15"/>
  <c r="L10" i="15"/>
  <c r="K10" i="15"/>
  <c r="J10" i="15"/>
  <c r="U9" i="15"/>
  <c r="T9" i="15"/>
  <c r="S9" i="15"/>
  <c r="R9" i="15"/>
  <c r="Q9" i="15"/>
  <c r="P9" i="15"/>
  <c r="O9" i="15"/>
  <c r="N9" i="15"/>
  <c r="M9" i="15"/>
  <c r="L9" i="15"/>
  <c r="K9" i="15"/>
  <c r="J9" i="15"/>
  <c r="U8" i="15"/>
  <c r="T8" i="15"/>
  <c r="S8" i="15"/>
  <c r="R8" i="15"/>
  <c r="Q8" i="15"/>
  <c r="P8" i="15"/>
  <c r="O8" i="15"/>
  <c r="N8" i="15"/>
  <c r="M8" i="15"/>
  <c r="L8" i="15"/>
  <c r="K8" i="15"/>
  <c r="J8" i="15"/>
  <c r="U7" i="15"/>
  <c r="T7" i="15"/>
  <c r="S7" i="15"/>
  <c r="R7" i="15"/>
  <c r="Q7" i="15"/>
  <c r="P7" i="15"/>
  <c r="O7" i="15"/>
  <c r="N7" i="15"/>
  <c r="M7" i="15"/>
  <c r="L7" i="15"/>
  <c r="K7" i="15"/>
  <c r="J7" i="15"/>
  <c r="U6" i="15"/>
  <c r="T6" i="15"/>
  <c r="S6" i="15"/>
  <c r="R6" i="15"/>
  <c r="Q6" i="15"/>
  <c r="P6" i="15"/>
  <c r="O6" i="15"/>
  <c r="N6" i="15"/>
  <c r="M6" i="15"/>
  <c r="L6" i="15"/>
  <c r="K6" i="15"/>
  <c r="J6" i="15"/>
  <c r="U5" i="15"/>
  <c r="T5" i="15"/>
  <c r="S5" i="15"/>
  <c r="R5" i="15"/>
  <c r="Q5" i="15"/>
  <c r="P5" i="15"/>
  <c r="O5" i="15"/>
  <c r="N5" i="15"/>
  <c r="M5" i="15"/>
  <c r="L5" i="15"/>
  <c r="K5" i="15"/>
  <c r="J5" i="15"/>
  <c r="U4" i="15"/>
  <c r="T4" i="15"/>
  <c r="S4" i="15"/>
  <c r="R4" i="15"/>
  <c r="Q4" i="15"/>
  <c r="P4" i="15"/>
  <c r="O4" i="15"/>
  <c r="N4" i="15"/>
  <c r="M4" i="15"/>
  <c r="L4" i="15"/>
  <c r="K4" i="15"/>
  <c r="J4" i="15"/>
  <c r="AA10" i="14"/>
  <c r="Z10" i="14"/>
  <c r="Y10" i="14"/>
  <c r="X10" i="14"/>
  <c r="W10" i="14"/>
  <c r="V10" i="14"/>
  <c r="U10" i="14"/>
  <c r="T10" i="14"/>
  <c r="S10" i="14"/>
  <c r="R10" i="14"/>
  <c r="Q10" i="14"/>
  <c r="P10" i="14"/>
  <c r="O10" i="14"/>
  <c r="N10" i="14"/>
  <c r="M10" i="14"/>
  <c r="L10" i="14"/>
  <c r="K10" i="14"/>
  <c r="J10" i="14"/>
  <c r="AA9" i="14"/>
  <c r="Z9" i="14"/>
  <c r="Y9" i="14"/>
  <c r="X9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AA8" i="14"/>
  <c r="Z8" i="14"/>
  <c r="Y8" i="14"/>
  <c r="X8" i="14"/>
  <c r="W8" i="14"/>
  <c r="V8" i="14"/>
  <c r="U8" i="14"/>
  <c r="T8" i="14"/>
  <c r="S8" i="14"/>
  <c r="R8" i="14"/>
  <c r="Q8" i="14"/>
  <c r="P8" i="14"/>
  <c r="O8" i="14"/>
  <c r="N8" i="14"/>
  <c r="M8" i="14"/>
  <c r="L8" i="14"/>
  <c r="K8" i="14"/>
  <c r="J8" i="14"/>
  <c r="AA7" i="14"/>
  <c r="Z7" i="14"/>
  <c r="Y7" i="14"/>
  <c r="X7" i="14"/>
  <c r="W7" i="14"/>
  <c r="V7" i="14"/>
  <c r="U7" i="14"/>
  <c r="T7" i="14"/>
  <c r="S7" i="14"/>
  <c r="R7" i="14"/>
  <c r="Q7" i="14"/>
  <c r="P7" i="14"/>
  <c r="O7" i="14"/>
  <c r="N7" i="14"/>
  <c r="M7" i="14"/>
  <c r="L7" i="14"/>
  <c r="K7" i="14"/>
  <c r="J7" i="14"/>
  <c r="AA6" i="14"/>
  <c r="Z6" i="14"/>
  <c r="Y6" i="14"/>
  <c r="X6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AA5" i="14"/>
  <c r="Z5" i="14"/>
  <c r="Y5" i="14"/>
  <c r="X5" i="14"/>
  <c r="W5" i="14"/>
  <c r="V5" i="14"/>
  <c r="U5" i="14"/>
  <c r="T5" i="14"/>
  <c r="S5" i="14"/>
  <c r="R5" i="14"/>
  <c r="Q5" i="14"/>
  <c r="P5" i="14"/>
  <c r="O5" i="14"/>
  <c r="N5" i="14"/>
  <c r="M5" i="14"/>
  <c r="L5" i="14"/>
  <c r="K5" i="14"/>
  <c r="J5" i="14"/>
  <c r="AA4" i="14"/>
  <c r="Z4" i="14"/>
  <c r="Y4" i="14"/>
  <c r="X4" i="14"/>
  <c r="W4" i="14"/>
  <c r="V4" i="14"/>
  <c r="U4" i="14"/>
  <c r="T4" i="14"/>
  <c r="S4" i="14"/>
  <c r="R4" i="14"/>
  <c r="Q4" i="14"/>
  <c r="P4" i="14"/>
  <c r="O4" i="14"/>
  <c r="N4" i="14"/>
  <c r="M4" i="14"/>
  <c r="L4" i="14"/>
  <c r="K4" i="14"/>
  <c r="J4" i="14"/>
  <c r="U10" i="12"/>
  <c r="T10" i="12"/>
  <c r="S10" i="12"/>
  <c r="R10" i="12"/>
  <c r="Q10" i="12"/>
  <c r="P10" i="12"/>
  <c r="O10" i="12"/>
  <c r="N10" i="12"/>
  <c r="M10" i="12"/>
  <c r="L10" i="12"/>
  <c r="K10" i="12"/>
  <c r="J10" i="12"/>
  <c r="U9" i="12"/>
  <c r="T9" i="12"/>
  <c r="S9" i="12"/>
  <c r="R9" i="12"/>
  <c r="Q9" i="12"/>
  <c r="P9" i="12"/>
  <c r="O9" i="12"/>
  <c r="N9" i="12"/>
  <c r="M9" i="12"/>
  <c r="L9" i="12"/>
  <c r="K9" i="12"/>
  <c r="J9" i="12"/>
  <c r="U8" i="12"/>
  <c r="T8" i="12"/>
  <c r="S8" i="12"/>
  <c r="R8" i="12"/>
  <c r="Q8" i="12"/>
  <c r="P8" i="12"/>
  <c r="O8" i="12"/>
  <c r="N8" i="12"/>
  <c r="M8" i="12"/>
  <c r="L8" i="12"/>
  <c r="K8" i="12"/>
  <c r="J8" i="12"/>
  <c r="U7" i="12"/>
  <c r="T7" i="12"/>
  <c r="S7" i="12"/>
  <c r="R7" i="12"/>
  <c r="Q7" i="12"/>
  <c r="P7" i="12"/>
  <c r="O7" i="12"/>
  <c r="N7" i="12"/>
  <c r="M7" i="12"/>
  <c r="L7" i="12"/>
  <c r="K7" i="12"/>
  <c r="J7" i="12"/>
  <c r="U6" i="12"/>
  <c r="T6" i="12"/>
  <c r="S6" i="12"/>
  <c r="R6" i="12"/>
  <c r="Q6" i="12"/>
  <c r="P6" i="12"/>
  <c r="O6" i="12"/>
  <c r="N6" i="12"/>
  <c r="M6" i="12"/>
  <c r="L6" i="12"/>
  <c r="K6" i="12"/>
  <c r="J6" i="12"/>
  <c r="U5" i="12"/>
  <c r="T5" i="12"/>
  <c r="S5" i="12"/>
  <c r="R5" i="12"/>
  <c r="Q5" i="12"/>
  <c r="P5" i="12"/>
  <c r="O5" i="12"/>
  <c r="N5" i="12"/>
  <c r="M5" i="12"/>
  <c r="L5" i="12"/>
  <c r="K5" i="12"/>
  <c r="J5" i="12"/>
  <c r="U4" i="12"/>
  <c r="T4" i="12"/>
  <c r="S4" i="12"/>
  <c r="R4" i="12"/>
  <c r="Q4" i="12"/>
  <c r="P4" i="12"/>
  <c r="O4" i="12"/>
  <c r="N4" i="12"/>
  <c r="M4" i="12"/>
  <c r="L4" i="12"/>
  <c r="K4" i="12"/>
  <c r="J4" i="12"/>
  <c r="U10" i="10"/>
  <c r="T10" i="10"/>
  <c r="S10" i="10"/>
  <c r="R10" i="10"/>
  <c r="Q10" i="10"/>
  <c r="P10" i="10"/>
  <c r="O10" i="10"/>
  <c r="N10" i="10"/>
  <c r="M10" i="10"/>
  <c r="L10" i="10"/>
  <c r="K10" i="10"/>
  <c r="J10" i="10"/>
  <c r="U9" i="10"/>
  <c r="T9" i="10"/>
  <c r="S9" i="10"/>
  <c r="R9" i="10"/>
  <c r="Q9" i="10"/>
  <c r="P9" i="10"/>
  <c r="O9" i="10"/>
  <c r="N9" i="10"/>
  <c r="M9" i="10"/>
  <c r="L9" i="10"/>
  <c r="K9" i="10"/>
  <c r="J9" i="10"/>
  <c r="U8" i="10"/>
  <c r="T8" i="10"/>
  <c r="S8" i="10"/>
  <c r="R8" i="10"/>
  <c r="Q8" i="10"/>
  <c r="P8" i="10"/>
  <c r="O8" i="10"/>
  <c r="N8" i="10"/>
  <c r="M8" i="10"/>
  <c r="L8" i="10"/>
  <c r="K8" i="10"/>
  <c r="J8" i="10"/>
  <c r="U7" i="10"/>
  <c r="T7" i="10"/>
  <c r="S7" i="10"/>
  <c r="R7" i="10"/>
  <c r="Q7" i="10"/>
  <c r="P7" i="10"/>
  <c r="O7" i="10"/>
  <c r="N7" i="10"/>
  <c r="M7" i="10"/>
  <c r="L7" i="10"/>
  <c r="K7" i="10"/>
  <c r="J7" i="10"/>
  <c r="U6" i="10"/>
  <c r="T6" i="10"/>
  <c r="S6" i="10"/>
  <c r="R6" i="10"/>
  <c r="Q6" i="10"/>
  <c r="P6" i="10"/>
  <c r="O6" i="10"/>
  <c r="N6" i="10"/>
  <c r="M6" i="10"/>
  <c r="L6" i="10"/>
  <c r="K6" i="10"/>
  <c r="J6" i="10"/>
  <c r="U5" i="10"/>
  <c r="T5" i="10"/>
  <c r="S5" i="10"/>
  <c r="R5" i="10"/>
  <c r="Q5" i="10"/>
  <c r="P5" i="10"/>
  <c r="O5" i="10"/>
  <c r="N5" i="10"/>
  <c r="M5" i="10"/>
  <c r="L5" i="10"/>
  <c r="K5" i="10"/>
  <c r="J5" i="10"/>
  <c r="U4" i="10"/>
  <c r="T4" i="10"/>
  <c r="S4" i="10"/>
  <c r="R4" i="10"/>
  <c r="Q4" i="10"/>
  <c r="P4" i="10"/>
  <c r="O4" i="10"/>
  <c r="N4" i="10"/>
  <c r="M4" i="10"/>
  <c r="L4" i="10"/>
  <c r="K4" i="10"/>
  <c r="J4" i="10"/>
  <c r="U4" i="9"/>
  <c r="T4" i="9"/>
  <c r="S4" i="9"/>
  <c r="R4" i="9"/>
  <c r="Q4" i="9"/>
  <c r="P4" i="9"/>
  <c r="O4" i="9"/>
  <c r="N4" i="9"/>
  <c r="M4" i="9"/>
  <c r="L4" i="9"/>
  <c r="K4" i="9"/>
  <c r="J4" i="9"/>
  <c r="U10" i="9"/>
  <c r="T10" i="9"/>
  <c r="S10" i="9"/>
  <c r="R10" i="9"/>
  <c r="Q10" i="9"/>
  <c r="P10" i="9"/>
  <c r="U9" i="9"/>
  <c r="T9" i="9"/>
  <c r="S9" i="9"/>
  <c r="R9" i="9"/>
  <c r="Q9" i="9"/>
  <c r="P9" i="9"/>
  <c r="U8" i="9"/>
  <c r="T8" i="9"/>
  <c r="S8" i="9"/>
  <c r="R8" i="9"/>
  <c r="Q8" i="9"/>
  <c r="P8" i="9"/>
  <c r="U7" i="9"/>
  <c r="T7" i="9"/>
  <c r="S7" i="9"/>
  <c r="R7" i="9"/>
  <c r="Q7" i="9"/>
  <c r="P7" i="9"/>
  <c r="U6" i="9"/>
  <c r="T6" i="9"/>
  <c r="S6" i="9"/>
  <c r="R6" i="9"/>
  <c r="Q6" i="9"/>
  <c r="P6" i="9"/>
  <c r="U5" i="9"/>
  <c r="T5" i="9"/>
  <c r="S5" i="9"/>
  <c r="R5" i="9"/>
  <c r="Q5" i="9"/>
  <c r="P5" i="9"/>
  <c r="O10" i="9"/>
  <c r="N10" i="9"/>
  <c r="M10" i="9"/>
  <c r="L10" i="9"/>
  <c r="K10" i="9"/>
  <c r="J10" i="9"/>
  <c r="O9" i="9"/>
  <c r="N9" i="9"/>
  <c r="M9" i="9"/>
  <c r="L9" i="9"/>
  <c r="K9" i="9"/>
  <c r="J9" i="9"/>
  <c r="O8" i="9"/>
  <c r="N8" i="9"/>
  <c r="M8" i="9"/>
  <c r="L8" i="9"/>
  <c r="K8" i="9"/>
  <c r="J8" i="9"/>
  <c r="O7" i="9"/>
  <c r="N7" i="9"/>
  <c r="M7" i="9"/>
  <c r="L7" i="9"/>
  <c r="K7" i="9"/>
  <c r="J7" i="9"/>
  <c r="O6" i="9"/>
  <c r="N6" i="9"/>
  <c r="M6" i="9"/>
  <c r="L6" i="9"/>
  <c r="K6" i="9"/>
  <c r="J6" i="9"/>
  <c r="O5" i="9"/>
  <c r="N5" i="9"/>
  <c r="M5" i="9"/>
  <c r="L5" i="9"/>
  <c r="K5" i="9"/>
  <c r="J5" i="9"/>
</calcChain>
</file>

<file path=xl/comments1.xml><?xml version="1.0" encoding="utf-8"?>
<comments xmlns="http://schemas.openxmlformats.org/spreadsheetml/2006/main">
  <authors>
    <author>Derek Chen</author>
  </authors>
  <commentList>
    <comment ref="L1" authorId="0">
      <text>
        <r>
          <rPr>
            <sz val="9"/>
            <color indexed="81"/>
            <rFont val="Calibri"/>
            <family val="2"/>
          </rPr>
          <t>Removed 1 example (6 epochs) from data since it was an outlier, significantly dragging down the MIN and AVG for all connected hyper-params
Removed all multi-layer examples to properly compare LSTM and GRU.</t>
        </r>
      </text>
    </comment>
  </commentList>
</comments>
</file>

<file path=xl/comments2.xml><?xml version="1.0" encoding="utf-8"?>
<comments xmlns="http://schemas.openxmlformats.org/spreadsheetml/2006/main">
  <authors>
    <author>Derek Chen</author>
  </authors>
  <commentList>
    <comment ref="L1" authorId="0">
      <text>
        <r>
          <rPr>
            <sz val="9"/>
            <color indexed="81"/>
            <rFont val="Calibri"/>
            <family val="2"/>
          </rPr>
          <t>Removed 1 example (6 epochs) from data since it was an outlier, significantly dragging down the MIN and AVG for all connected hyper-params
Removed all multi-layer examples to properly compare LSTM and GRU.</t>
        </r>
      </text>
    </comment>
  </commentList>
</comments>
</file>

<file path=xl/comments3.xml><?xml version="1.0" encoding="utf-8"?>
<comments xmlns="http://schemas.openxmlformats.org/spreadsheetml/2006/main">
  <authors>
    <author>Derek Chen</author>
  </authors>
  <commentList>
    <comment ref="L1" authorId="0">
      <text>
        <r>
          <rPr>
            <sz val="9"/>
            <color indexed="81"/>
            <rFont val="Calibri"/>
            <family val="2"/>
          </rPr>
          <t>Removed 1 example (6 epochs) from data since it was an outlier, significantly dragging down the MIN and AVG for all connected hyper-params
Removed all multi-layer examples to properly compare LSTM and GRU.</t>
        </r>
      </text>
    </comment>
  </commentList>
</comments>
</file>

<file path=xl/sharedStrings.xml><?xml version="1.0" encoding="utf-8"?>
<sst xmlns="http://schemas.openxmlformats.org/spreadsheetml/2006/main" count="7014" uniqueCount="872">
  <si>
    <t>E1</t>
  </si>
  <si>
    <t>E2</t>
  </si>
  <si>
    <t>E3</t>
  </si>
  <si>
    <t>E4</t>
  </si>
  <si>
    <t>E5</t>
  </si>
  <si>
    <t>E6</t>
  </si>
  <si>
    <t>Epoch</t>
  </si>
  <si>
    <t>Row Labels</t>
  </si>
  <si>
    <t>Grand Total</t>
  </si>
  <si>
    <t>Values</t>
  </si>
  <si>
    <t>Epoch 10</t>
  </si>
  <si>
    <t>Epoch 11</t>
  </si>
  <si>
    <t>Epoch 12</t>
  </si>
  <si>
    <t>Epoch 13</t>
  </si>
  <si>
    <t>Epoch 14</t>
  </si>
  <si>
    <t>Epoch 15</t>
  </si>
  <si>
    <t>FALSE</t>
  </si>
  <si>
    <t>TRUE</t>
  </si>
  <si>
    <t>Avg Loss</t>
  </si>
  <si>
    <t>Max Loss</t>
  </si>
  <si>
    <t>Min Loss</t>
  </si>
  <si>
    <t>Avg Acc</t>
  </si>
  <si>
    <t>Min Acc</t>
  </si>
  <si>
    <t>Max Acc</t>
  </si>
  <si>
    <t>65s:loss:0.3645:acc:0.8954:val_loss:2.2813:val_acc:0.4845</t>
  </si>
  <si>
    <t>65s:loss:0.3245:acc:0.9081:val_loss:2.4166:val_acc:0.4920</t>
  </si>
  <si>
    <t>65s:loss:0.2796:acc:0.9224:val_loss:2.4243:val_acc:0.4850</t>
  </si>
  <si>
    <t>65s:loss:0.2786:acc:0.9207:val_loss:2.4975:val_acc:0.4715</t>
  </si>
  <si>
    <t>65s:loss:0.2478:acc:0.9286:val_loss:2.4340:val_acc:0.4970</t>
  </si>
  <si>
    <t>65s:loss:0.2275:acc:0.9353:val_loss:2.4622:val_acc:0.4890</t>
  </si>
  <si>
    <t>73s:loss:0.9120:acc:0.7351:val_loss:1.7706:val_acc:0.5300</t>
  </si>
  <si>
    <t>73s:loss:0.8376:acc:0.7571:val_loss:1.8589:val_acc:0.5230</t>
  </si>
  <si>
    <t>73s:loss:0.7706:acc:0.7760:val_loss:1.8566:val_acc:0.5210</t>
  </si>
  <si>
    <t>73s:loss:0.7063:acc:0.7914:val_loss:1.8762:val_acc:0.5220</t>
  </si>
  <si>
    <t>73s:loss:0.6437:acc:0.8124:val_loss:1.9020:val_acc:0.5065</t>
  </si>
  <si>
    <t>73s:loss:0.6095:acc:0.8204:val_loss:1.9315:val_acc:0.5245</t>
  </si>
  <si>
    <t>68s:loss:0.5555:acc:0.8382:val_loss:2.2050:val_acc:0.5035</t>
  </si>
  <si>
    <t>68s:loss:0.4870:acc:0.8586:val_loss:2.2918:val_acc:0.5060</t>
  </si>
  <si>
    <t>68s:loss:0.4510:acc:0.8690:val_loss:2.3032:val_acc:0.5140</t>
  </si>
  <si>
    <t>79s:loss:0.3998:acc:0.8820:val_loss:2.3546:val_acc:0.5080</t>
  </si>
  <si>
    <t>79s:loss:0.3589:acc:0.8959:val_loss:2.4540:val_acc:0.5060</t>
  </si>
  <si>
    <t>79s:loss:0.3455:acc:0.9031:val_loss:2.4912:val_acc:0.5020</t>
  </si>
  <si>
    <t>85s:loss:1.2235:acc:0.6337:val_loss:1.8409:val_acc:0.5200</t>
  </si>
  <si>
    <t>85s:loss:1.1149:acc:0.6759:val_loss:1.7987:val_acc:0.5360</t>
  </si>
  <si>
    <t>85s:loss:1.0414:acc:0.6929:val_loss:1.8392:val_acc:0.5295</t>
  </si>
  <si>
    <t>85s:loss:0.9798:acc:0.7099:val_loss:1.8880:val_acc:0.5345</t>
  </si>
  <si>
    <t>85s:loss:0.9123:acc:0.7335:val_loss:1.8221:val_acc:0.5335</t>
  </si>
  <si>
    <t>86s:loss:0.8514:acc:0.7475:val_loss:1.8782:val_acc:0.5275</t>
  </si>
  <si>
    <t>49s:loss:0.3462:acc:0.9073:val_loss:2.2026:val_acc:0.5165</t>
  </si>
  <si>
    <t>50s:loss:0.2824:acc:0.9239:val_loss:2.3367:val_acc:0.5255</t>
  </si>
  <si>
    <t>49s:loss:0.2641:acc:0.9303:val_loss:2.3825:val_acc:0.5175</t>
  </si>
  <si>
    <t>49s:loss:0.2379:acc:0.9366:val_loss:2.3650:val_acc:0.5375</t>
  </si>
  <si>
    <t>49s:loss:0.2122:acc:0.9457:val_loss:2.5110:val_acc:0.4995</t>
  </si>
  <si>
    <t>49s:loss:0.1891:acc:0.9500:val_loss:2.6053:val_acc:0.5070</t>
  </si>
  <si>
    <t>47s:loss:0.9497:acc:0.7266:val_loss:1.8725:val_acc:0.5135</t>
  </si>
  <si>
    <t>47s:loss:0.8589:acc:0.7530:val_loss:1.7807:val_acc:0.5495</t>
  </si>
  <si>
    <t>48s:loss:0.7891:acc:0.7734:val_loss:1.8194:val_acc:0.5265</t>
  </si>
  <si>
    <t>48s:loss:0.7142:acc:0.7947:val_loss:1.8481:val_acc:0.5310</t>
  </si>
  <si>
    <t>47s:loss:0.6634:acc:0.8060:val_loss:1.8407:val_acc:0.5595</t>
  </si>
  <si>
    <t>48s:loss:0.5947:acc:0.8271:val_loss:1.9541:val_acc:0.5375</t>
  </si>
  <si>
    <t>42s:loss:0.4157:acc:0.8890:val_loss:2.1687:val_acc:0.5120</t>
  </si>
  <si>
    <t>42s:loss:0.3627:acc:0.9035:val_loss:2.2126:val_acc:0.5210</t>
  </si>
  <si>
    <t>42s:loss:0.2920:acc:0.9193:val_loss:2.2812:val_acc:0.5245</t>
  </si>
  <si>
    <t>42s:loss:0.2530:acc:0.9331:val_loss:2.4039:val_acc:0.5275</t>
  </si>
  <si>
    <t>42s:loss:0.2255:acc:0.9406:val_loss:2.4098:val_acc:0.5310</t>
  </si>
  <si>
    <t>42s:loss:0.2011:acc:0.9456:val_loss:2.4836:val_acc:0.5150</t>
  </si>
  <si>
    <t>41s:loss:1.3443:acc:0.6014:val_loss:1.8832:val_acc:0.5065</t>
  </si>
  <si>
    <t>42s:loss:1.2597:acc:0.6279:val_loss:1.8278:val_acc:0.5165</t>
  </si>
  <si>
    <t>42s:loss:1.1747:acc:0.6624:val_loss:1.7429:val_acc:0.5390</t>
  </si>
  <si>
    <t>42s:loss:1.0543:acc:0.6914:val_loss:1.8413:val_acc:0.5330</t>
  </si>
  <si>
    <t>41s:loss:1.0101:acc:0.7096:val_loss:1.7683:val_acc:0.5480</t>
  </si>
  <si>
    <t>41s:loss:0.9345:acc:0.7277:val_loss:1.7784:val_acc:0.5470</t>
  </si>
  <si>
    <t>137s:loss:0.3653:acc:0.8942:val_loss:2.2130:val_acc:0.4860</t>
  </si>
  <si>
    <t>135s:loss:0.3117:acc:0.9040:val_loss:2.2176:val_acc:0.5305</t>
  </si>
  <si>
    <t>136s:loss:0.3009:acc:0.9108:val_loss:2.1818:val_acc:0.5215</t>
  </si>
  <si>
    <t>136s:loss:0.2578:acc:0.9245:val_loss:2.3691:val_acc:0.5130</t>
  </si>
  <si>
    <t>136s:loss:0.2371:acc:0.9324:val_loss:2.4484:val_acc:0.5040</t>
  </si>
  <si>
    <t>136s:loss:0.2219:acc:0.9363:val_loss:2.3210:val_acc:0.5175</t>
  </si>
  <si>
    <t>143s:loss:0.7819:acc:0.7671:val_loss:1.8338:val_acc:0.5135</t>
  </si>
  <si>
    <t>143s:loss:0.6919:acc:0.7967:val_loss:1.8700:val_acc:0.5290</t>
  </si>
  <si>
    <t>143s:loss:0.6512:acc:0.8070:val_loss:1.8408:val_acc:0.5275</t>
  </si>
  <si>
    <t>143s:loss:0.6044:acc:0.8184:val_loss:1.8987:val_acc:0.5235</t>
  </si>
  <si>
    <t>143s:loss:0.5304:acc:0.8424:val_loss:1.9830:val_acc:0.5315</t>
  </si>
  <si>
    <t>143s:loss:0.4881:acc:0.8535:val_loss:2.0021:val_acc:0.5300</t>
  </si>
  <si>
    <t>148s:loss:0.4977:acc:0.8562:val_loss:2.0568:val_acc:0.5145</t>
  </si>
  <si>
    <t>150s:loss:0.4387:acc:0.8709:val_loss:2.2199:val_acc:0.5095</t>
  </si>
  <si>
    <t>160s:loss:0.4115:acc:0.8824:val_loss:2.1299:val_acc:0.5225</t>
  </si>
  <si>
    <t>147s:loss:0.3369:acc:0.9030:val_loss:2.1104:val_acc:0.5290</t>
  </si>
  <si>
    <t>149s:loss:0.3150:acc:0.9079:val_loss:2.2054:val_acc:0.5150</t>
  </si>
  <si>
    <t>146s:loss:0.2891:acc:0.9166:val_loss:2.2149:val_acc:0.5190</t>
  </si>
  <si>
    <t>148s:loss:1.1171:acc:0.6719:val_loss:1.8398:val_acc:0.5225</t>
  </si>
  <si>
    <t>153s:loss:1.0547:acc:0.6865:val_loss:1.7659:val_acc:0.5260</t>
  </si>
  <si>
    <t>146s:loss:0.9790:acc:0.7103:val_loss:1.8098:val_acc:0.5325</t>
  </si>
  <si>
    <t>155s:loss:0.9087:acc:0.7289:val_loss:1.7535:val_acc:0.5230</t>
  </si>
  <si>
    <t>150s:loss:0.8537:acc:0.7460:val_loss:1.8445:val_acc:0.5200</t>
  </si>
  <si>
    <t>151s:loss:0.7981:acc:0.7611:val_loss:1.8724:val_acc:0.5015</t>
  </si>
  <si>
    <t>79s:loss:0.2922:acc:0.9203:val_loss:2.2658:val_acc:0.5090</t>
  </si>
  <si>
    <t>74s:loss:0.2592:acc:0.9325:val_loss:2.4002:val_acc:0.5095</t>
  </si>
  <si>
    <t>73s:loss:0.2244:acc:0.9360:val_loss:2.3662:val_acc:0.5265</t>
  </si>
  <si>
    <t>74s:loss:0.1963:acc:0.9451:val_loss:2.5338:val_acc:0.4970</t>
  </si>
  <si>
    <t>73s:loss:0.2019:acc:0.9450:val_loss:2.4606:val_acc:0.5230</t>
  </si>
  <si>
    <t>74s:loss:0.1771:acc:0.9520:val_loss:2.4777:val_acc:0.5050</t>
  </si>
  <si>
    <t>72s:loss:0.9215:acc:0.7286:val_loss:1.6588:val_acc:0.5545</t>
  </si>
  <si>
    <t>72s:loss:0.8347:acc:0.7580:val_loss:1.8519:val_acc:0.5340</t>
  </si>
  <si>
    <t>72s:loss:0.7676:acc:0.7716:val_loss:1.7309:val_acc:0.5555</t>
  </si>
  <si>
    <t>72s:loss:0.6914:acc:0.7965:val_loss:1.8740:val_acc:0.5335</t>
  </si>
  <si>
    <t>81s:loss:0.6358:acc:0.8164:val_loss:1.8126:val_acc:0.5480</t>
  </si>
  <si>
    <t>85s:loss:0.5818:acc:0.8290:val_loss:1.9096:val_acc:0.5335</t>
  </si>
  <si>
    <t>91s:loss:0.3995:acc:0.8921:val_loss:2.1916:val_acc:0.5340</t>
  </si>
  <si>
    <t>92s:loss:0.3568:acc:0.8984:val_loss:2.1859:val_acc:0.5370</t>
  </si>
  <si>
    <t>93s:loss:0.3105:acc:0.9143:val_loss:2.2972:val_acc:0.5300</t>
  </si>
  <si>
    <t>93s:loss:0.2738:acc:0.9216:val_loss:2.3361:val_acc:0.5320</t>
  </si>
  <si>
    <t>93s:loss:0.2330:acc:0.9337:val_loss:2.4652:val_acc:0.5325</t>
  </si>
  <si>
    <t>93s:loss:0.2156:acc:0.9436:val_loss:2.4911:val_acc:0.5305</t>
  </si>
  <si>
    <t>79s:loss:1.2744:acc:0.6236:val_loss:1.7827:val_acc:0.5275</t>
  </si>
  <si>
    <t>73s:loss:1.1686:acc:0.6608:val_loss:1.7612:val_acc:0.5195</t>
  </si>
  <si>
    <t>73s:loss:1.0943:acc:0.6794:val_loss:1.7677:val_acc:0.5310</t>
  </si>
  <si>
    <t>73s:loss:1.0042:acc:0.7070:val_loss:1.7772:val_acc:0.5335</t>
  </si>
  <si>
    <t>73s:loss:0.9058:acc:0.7401:val_loss:1.7574:val_acc:0.5440</t>
  </si>
  <si>
    <t>73s:loss:0.8687:acc:0.7481:val_loss:1.8207:val_acc:0.5230</t>
  </si>
  <si>
    <t>277s:loss:0.3501:acc:0.8995:val_loss:2.2466:val_acc:0.5135</t>
  </si>
  <si>
    <t>277s:loss:0.3123:acc:0.9083:val_loss:2.1971:val_acc:0.5065</t>
  </si>
  <si>
    <t>277s:loss:0.2741:acc:0.9180:val_loss:2.1659:val_acc:0.5255</t>
  </si>
  <si>
    <t>278s:loss:0.2437:acc:0.9301:val_loss:2.3169:val_acc:0.5055</t>
  </si>
  <si>
    <t>279s:loss:0.2368:acc:0.9294:val_loss:2.4559:val_acc:0.5185</t>
  </si>
  <si>
    <t>278s:loss:0.1995:acc:0.9415:val_loss:2.3853:val_acc:0.5185</t>
  </si>
  <si>
    <t>282s:loss:0.8495:acc:0.7440:val_loss:1.6630:val_acc:0.5475</t>
  </si>
  <si>
    <t>282s:loss:0.7684:acc:0.7684:val_loss:1.6969:val_acc:0.5670</t>
  </si>
  <si>
    <t>284s:loss:0.7009:acc:0.7923:val_loss:1.7456:val_acc:0.5520</t>
  </si>
  <si>
    <t>284s:loss:0.6265:acc:0.8075:val_loss:1.8457:val_acc:0.5235</t>
  </si>
  <si>
    <t>284s:loss:0.5731:acc:0.8295:val_loss:1.8969:val_acc:0.5270</t>
  </si>
  <si>
    <t>283s:loss:0.5260:acc:0.8461:val_loss:1.9250:val_acc:0.5245</t>
  </si>
  <si>
    <t>287s:loss:0.5185:acc:0.8500:val_loss:2.0304:val_acc:0.5035</t>
  </si>
  <si>
    <t>288s:loss:0.4440:acc:0.8709:val_loss:2.0133:val_acc:0.5285</t>
  </si>
  <si>
    <t>288s:loss:0.3981:acc:0.8829:val_loss:2.0717:val_acc:0.5140</t>
  </si>
  <si>
    <t>287s:loss:0.3434:acc:0.8971:val_loss:2.0678:val_acc:0.5190</t>
  </si>
  <si>
    <t>286s:loss:0.3245:acc:0.9029:val_loss:2.2484:val_acc:0.5315</t>
  </si>
  <si>
    <t>288s:loss:0.2792:acc:0.9168:val_loss:2.1646:val_acc:0.5230</t>
  </si>
  <si>
    <t>291s:loss:1.1383:acc:0.6629:val_loss:1.8228:val_acc:0.4960</t>
  </si>
  <si>
    <t>290s:loss:1.0274:acc:0.6974:val_loss:1.7354:val_acc:0.5460</t>
  </si>
  <si>
    <t>290s:loss:0.9613:acc:0.7136:val_loss:1.7736:val_acc:0.5205</t>
  </si>
  <si>
    <t>289s:loss:0.8935:acc:0.7285:val_loss:1.7852:val_acc:0.5270</t>
  </si>
  <si>
    <t>290s:loss:0.8352:acc:0.7499:val_loss:1.7523:val_acc:0.5285</t>
  </si>
  <si>
    <t>289s:loss:0.7838:acc:0.7656:val_loss:1.7874:val_acc:0.5340</t>
  </si>
  <si>
    <t>138s:loss:0.3111:acc:0.9105:val_loss:2.3136:val_acc:0.5055</t>
  </si>
  <si>
    <t>137s:loss:0.2515:acc:0.9266:val_loss:2.3171:val_acc:0.5280</t>
  </si>
  <si>
    <t>137s:loss:0.2325:acc:0.9331:val_loss:2.3316:val_acc:0.5050</t>
  </si>
  <si>
    <t>137s:loss:0.2174:acc:0.9360:val_loss:2.4964:val_acc:0.4945</t>
  </si>
  <si>
    <t>138s:loss:0.1938:acc:0.9423:val_loss:2.5160:val_acc:0.4890</t>
  </si>
  <si>
    <t>138s:loss:0.1709:acc:0.9517:val_loss:2.4616:val_acc:0.5115</t>
  </si>
  <si>
    <t>141s:loss:1.0416:acc:0.6877:val_loss:1.7026:val_acc:0.5210</t>
  </si>
  <si>
    <t>140s:loss:0.9396:acc:0.7220:val_loss:1.6863:val_acc:0.5315</t>
  </si>
  <si>
    <t>142s:loss:0.8725:acc:0.7459:val_loss:1.7427:val_acc:0.5295</t>
  </si>
  <si>
    <t>142s:loss:0.7640:acc:0.7721:val_loss:1.7421:val_acc:0.5380</t>
  </si>
  <si>
    <t>141s:loss:0.7125:acc:0.7906:val_loss:1.7588:val_acc:0.5495</t>
  </si>
  <si>
    <t>144s:loss:0.6393:acc:0.8117:val_loss:1.8831:val_acc:0.5360</t>
  </si>
  <si>
    <t>151s:loss:0.3908:acc:0.8906:val_loss:2.0423:val_acc:0.5340</t>
  </si>
  <si>
    <t>165s:loss:0.3553:acc:0.8981:val_loss:2.0733:val_acc:0.5430</t>
  </si>
  <si>
    <t>165s:loss:0.2932:acc:0.9161:val_loss:2.2023:val_acc:0.5295</t>
  </si>
  <si>
    <t>165s:loss:0.2615:acc:0.9263:val_loss:2.2893:val_acc:0.5120</t>
  </si>
  <si>
    <t>165s:loss:0.2381:acc:0.9331:val_loss:2.2755:val_acc:0.5185</t>
  </si>
  <si>
    <t>165s:loss:0.2069:acc:0.9410:val_loss:2.3220:val_acc:0.5205</t>
  </si>
  <si>
    <t>150s:loss:1.2790:acc:0.6132:val_loss:1.7802:val_acc:0.5150</t>
  </si>
  <si>
    <t>149s:loss:1.1805:acc:0.6479:val_loss:1.7207:val_acc:0.5440</t>
  </si>
  <si>
    <t>149s:loss:1.0916:acc:0.6745:val_loss:1.6832:val_acc:0.5450</t>
  </si>
  <si>
    <t>150s:loss:1.0213:acc:0.6941:val_loss:1.6809:val_acc:0.5600</t>
  </si>
  <si>
    <t>151s:loss:0.9489:acc:0.7186:val_loss:1.6898:val_acc:0.5535</t>
  </si>
  <si>
    <t>150s:loss:0.8935:acc:0.7371:val_loss:1.7537:val_acc:0.5425</t>
  </si>
  <si>
    <t>66s:loss:0.5272:acc:0.8435:val_loss:2.0883:val_acc:0.5165</t>
  </si>
  <si>
    <t>65s:loss:0.4644:acc:0.8668:val_loss:2.0293:val_acc:0.5095</t>
  </si>
  <si>
    <t>66s:loss:0.4203:acc:0.8784:val_loss:2.0702:val_acc:0.5155</t>
  </si>
  <si>
    <t>65s:loss:0.3828:acc:0.8882:val_loss:2.1738:val_acc:0.5210</t>
  </si>
  <si>
    <t>65s:loss:0.3595:acc:0.8957:val_loss:2.2016:val_acc:0.5235</t>
  </si>
  <si>
    <t>67s:loss:0.3362:acc:0.9029:val_loss:2.2447:val_acc:0.5240</t>
  </si>
  <si>
    <t>73s:loss:0.9626:acc:0.7158:val_loss:1.7635:val_acc:0.5295</t>
  </si>
  <si>
    <t>73s:loss:0.8922:acc:0.7420:val_loss:1.8195:val_acc:0.5265</t>
  </si>
  <si>
    <t>72s:loss:0.8375:acc:0.7559:val_loss:1.7929:val_acc:0.5385</t>
  </si>
  <si>
    <t>73s:loss:0.7861:acc:0.7682:val_loss:1.8063:val_acc:0.5335</t>
  </si>
  <si>
    <t>73s:loss:0.7374:acc:0.7835:val_loss:1.8317:val_acc:0.5390</t>
  </si>
  <si>
    <t>73s:loss:0.6932:acc:0.7993:val_loss:1.8846:val_acc:0.5380</t>
  </si>
  <si>
    <t>69s:loss:0.7271:acc:0.7831:val_loss:1.9955:val_acc:0.5085</t>
  </si>
  <si>
    <t>68s:loss:0.6523:acc:0.8096:val_loss:2.0718:val_acc:0.4935</t>
  </si>
  <si>
    <t>68s:loss:0.5967:acc:0.8249:val_loss:2.1361:val_acc:0.5045</t>
  </si>
  <si>
    <t>68s:loss:0.5466:acc:0.8390:val_loss:2.1562:val_acc:0.5025</t>
  </si>
  <si>
    <t>68s:loss:0.4809:acc:0.8601:val_loss:2.1870:val_acc:0.5095</t>
  </si>
  <si>
    <t>68s:loss:0.4666:acc:0.8642:val_loss:2.2528:val_acc:0.5125</t>
  </si>
  <si>
    <t>72s:loss:1.3460:acc:0.6039:val_loss:1.8489:val_acc:0.5125</t>
  </si>
  <si>
    <t>72s:loss:1.2603:acc:0.6224:val_loss:1.7773:val_acc:0.5260</t>
  </si>
  <si>
    <t>72s:loss:1.1865:acc:0.6461:val_loss:1.7988:val_acc:0.5310</t>
  </si>
  <si>
    <t>72s:loss:1.1347:acc:0.6639:val_loss:1.8280:val_acc:0.5345</t>
  </si>
  <si>
    <t>72s:loss:1.0819:acc:0.6811:val_loss:1.7682:val_acc:0.5450</t>
  </si>
  <si>
    <t>72s:loss:1.0308:acc:0.7010:val_loss:1.8316:val_acc:0.5315</t>
  </si>
  <si>
    <t>42s:loss:0.3751:acc:0.8974:val_loss:2.1421:val_acc:0.5235</t>
  </si>
  <si>
    <t>42s:loss:0.3359:acc:0.9094:val_loss:2.2324:val_acc:0.5150</t>
  </si>
  <si>
    <t>42s:loss:0.3062:acc:0.9176:val_loss:2.3366:val_acc:0.5265</t>
  </si>
  <si>
    <t>42s:loss:0.2825:acc:0.9233:val_loss:2.3156:val_acc:0.5200</t>
  </si>
  <si>
    <t>42s:loss:0.2531:acc:0.9315:val_loss:2.4828:val_acc:0.5130</t>
  </si>
  <si>
    <t>42s:loss:0.2395:acc:0.9337:val_loss:2.3561:val_acc:0.5115</t>
  </si>
  <si>
    <t>41s:loss:1.0705:acc:0.6919:val_loss:1.8419:val_acc:0.5170</t>
  </si>
  <si>
    <t>41s:loss:0.9782:acc:0.7165:val_loss:1.7496:val_acc:0.5480</t>
  </si>
  <si>
    <t>41s:loss:0.8718:acc:0.7526:val_loss:1.7641:val_acc:0.5370</t>
  </si>
  <si>
    <t>41s:loss:0.8201:acc:0.7639:val_loss:1.7557:val_acc:0.5420</t>
  </si>
  <si>
    <t>41s:loss:0.7568:acc:0.7881:val_loss:1.8107:val_acc:0.5340</t>
  </si>
  <si>
    <t>41s:loss:0.6753:acc:0.8082:val_loss:1.8427:val_acc:0.5445</t>
  </si>
  <si>
    <t>42s:loss:0.5267:acc:0.8560:val_loss:2.0869:val_acc:0.5275</t>
  </si>
  <si>
    <t>42s:loss:0.4573:acc:0.8741:val_loss:2.1555:val_acc:0.5335</t>
  </si>
  <si>
    <t>42s:loss:0.4012:acc:0.8920:val_loss:2.2634:val_acc:0.5275</t>
  </si>
  <si>
    <t>42s:loss:0.3480:acc:0.9061:val_loss:2.2393:val_acc:0.5220</t>
  </si>
  <si>
    <t>42s:loss:0.3152:acc:0.9161:val_loss:2.3563:val_acc:0.5225</t>
  </si>
  <si>
    <t>43s:loss:0.2862:acc:0.9255:val_loss:2.3481:val_acc:0.5300</t>
  </si>
  <si>
    <t>41s:loss:1.5034:acc:0.5361:val_loss:1.8984:val_acc:0.5050</t>
  </si>
  <si>
    <t>41s:loss:1.4162:acc:0.5674:val_loss:1.8145:val_acc:0.5190</t>
  </si>
  <si>
    <t>42s:loss:1.3197:acc:0.6055:val_loss:1.7235:val_acc:0.5380</t>
  </si>
  <si>
    <t>41s:loss:1.2320:acc:0.6305:val_loss:1.7788:val_acc:0.5460</t>
  </si>
  <si>
    <t>41s:loss:1.1672:acc:0.6541:val_loss:1.7074:val_acc:0.5550</t>
  </si>
  <si>
    <t>41s:loss:1.0868:acc:0.6775:val_loss:1.7091:val_acc:0.5635</t>
  </si>
  <si>
    <t>137s:loss:0.4320:acc:0.8745:val_loss:2.0810:val_acc:0.5190</t>
  </si>
  <si>
    <t>136s:loss:0.3859:acc:0.8858:val_loss:2.0436:val_acc:0.5245</t>
  </si>
  <si>
    <t>137s:loss:0.3384:acc:0.9002:val_loss:2.2532:val_acc:0.5140</t>
  </si>
  <si>
    <t>137s:loss:0.3212:acc:0.9062:val_loss:2.2567:val_acc:0.5020</t>
  </si>
  <si>
    <t>137s:loss:0.2905:acc:0.9136:val_loss:2.2295:val_acc:0.5135</t>
  </si>
  <si>
    <t>137s:loss:0.2741:acc:0.9170:val_loss:2.3525:val_acc:0.4985</t>
  </si>
  <si>
    <t>141s:loss:0.9390:acc:0.7212:val_loss:1.7100:val_acc:0.5460</t>
  </si>
  <si>
    <t>142s:loss:0.8635:acc:0.7380:val_loss:1.7868:val_acc:0.5420</t>
  </si>
  <si>
    <t>141s:loss:0.7925:acc:0.7679:val_loss:1.7611:val_acc:0.5370</t>
  </si>
  <si>
    <t>141s:loss:0.7512:acc:0.7816:val_loss:1.8273:val_acc:0.5410</t>
  </si>
  <si>
    <t>141s:loss:0.7048:acc:0.7940:val_loss:1.9567:val_acc:0.5115</t>
  </si>
  <si>
    <t>141s:loss:0.6510:acc:0.8091:val_loss:1.8492:val_acc:0.5270</t>
  </si>
  <si>
    <t>138s:loss:0.6273:acc:0.8163:val_loss:2.0162:val_acc:0.5205</t>
  </si>
  <si>
    <t>138s:loss:0.5500:acc:0.8360:val_loss:2.1793:val_acc:0.4955</t>
  </si>
  <si>
    <t>139s:loss:0.5080:acc:0.8531:val_loss:2.1827:val_acc:0.5080</t>
  </si>
  <si>
    <t>139s:loss:0.4446:acc:0.8717:val_loss:2.1677:val_acc:0.5110</t>
  </si>
  <si>
    <t>139s:loss:0.4146:acc:0.8764:val_loss:2.2157:val_acc:0.5110</t>
  </si>
  <si>
    <t>138s:loss:0.3790:acc:0.8872:val_loss:2.1567:val_acc:0.5220</t>
  </si>
  <si>
    <t>142s:loss:1.2406:acc:0.6322:val_loss:1.8104:val_acc:0.5285</t>
  </si>
  <si>
    <t>141s:loss:1.1606:acc:0.6511:val_loss:1.7228:val_acc:0.5335</t>
  </si>
  <si>
    <t>142s:loss:1.0951:acc:0.6744:val_loss:1.7305:val_acc:0.5230</t>
  </si>
  <si>
    <t>141s:loss:1.0466:acc:0.6925:val_loss:1.7482:val_acc:0.5415</t>
  </si>
  <si>
    <t>142s:loss:0.9858:acc:0.7100:val_loss:1.7369:val_acc:0.5465</t>
  </si>
  <si>
    <t>142s:loss:0.9431:acc:0.7183:val_loss:1.7458:val_acc:0.5420</t>
  </si>
  <si>
    <t>74s:loss:0.3748:acc:0.8939:val_loss:2.0473:val_acc:0.5245</t>
  </si>
  <si>
    <t>74s:loss:0.3403:acc:0.9014:val_loss:2.1184:val_acc:0.5250</t>
  </si>
  <si>
    <t>74s:loss:0.2914:acc:0.9169:val_loss:2.2428:val_acc:0.5220</t>
  </si>
  <si>
    <t>74s:loss:0.2687:acc:0.9233:val_loss:2.2253:val_acc:0.5405</t>
  </si>
  <si>
    <t>74s:loss:0.2506:acc:0.9313:val_loss:2.2445:val_acc:0.5340</t>
  </si>
  <si>
    <t>74s:loss:0.2331:acc:0.9354:val_loss:2.2743:val_acc:0.5090</t>
  </si>
  <si>
    <t>73s:loss:1.0303:acc:0.6902:val_loss:1.6901:val_acc:0.5325</t>
  </si>
  <si>
    <t>73s:loss:0.9338:acc:0.7248:val_loss:1.6237:val_acc:0.5630</t>
  </si>
  <si>
    <t>73s:loss:0.8632:acc:0.7480:val_loss:1.6590:val_acc:0.5605</t>
  </si>
  <si>
    <t>73s:loss:0.8001:acc:0.7674:val_loss:1.6688:val_acc:0.5465</t>
  </si>
  <si>
    <t>74s:loss:0.7248:acc:0.7869:val_loss:1.6897:val_acc:0.5460</t>
  </si>
  <si>
    <t>73s:loss:0.6787:acc:0.7974:val_loss:1.7412:val_acc:0.5415</t>
  </si>
  <si>
    <t>75s:loss:0.5160:acc:0.8545:val_loss:2.0274:val_acc:0.5190</t>
  </si>
  <si>
    <t>75s:loss:0.4482:acc:0.8731:val_loss:2.0556:val_acc:0.5240</t>
  </si>
  <si>
    <t>74s:loss:0.3975:acc:0.8881:val_loss:2.1770:val_acc:0.5360</t>
  </si>
  <si>
    <t>74s:loss:0.3421:acc:0.9034:val_loss:2.2011:val_acc:0.5210</t>
  </si>
  <si>
    <t>72s:loss:0.3187:acc:0.9103:val_loss:2.2465:val_acc:0.5285</t>
  </si>
  <si>
    <t>72s:loss:0.2843:acc:0.9171:val_loss:2.2926:val_acc:0.5230</t>
  </si>
  <si>
    <t>70s:loss:1.4017:acc:0.5654:val_loss:1.7691:val_acc:0.5250</t>
  </si>
  <si>
    <t>70s:loss:1.3020:acc:0.6185:val_loss:1.7652:val_acc:0.5215</t>
  </si>
  <si>
    <t>70s:loss:1.2178:acc:0.6382:val_loss:1.7279:val_acc:0.5390</t>
  </si>
  <si>
    <t>70s:loss:1.1355:acc:0.6666:val_loss:1.6813:val_acc:0.5475</t>
  </si>
  <si>
    <t>70s:loss:1.0637:acc:0.6848:val_loss:1.7354:val_acc:0.5515</t>
  </si>
  <si>
    <t>70s:loss:0.9789:acc:0.7116:val_loss:1.7086:val_acc:0.5610</t>
  </si>
  <si>
    <t>277s:loss:0.4432:acc:0.8704:val_loss:1.9753:val_acc:0.5315</t>
  </si>
  <si>
    <t>276s:loss:0.3820:acc:0.8902:val_loss:2.0808:val_acc:0.5175</t>
  </si>
  <si>
    <t>277s:loss:0.3512:acc:0.8964:val_loss:2.0709:val_acc:0.5205</t>
  </si>
  <si>
    <t>276s:loss:0.3156:acc:0.9027:val_loss:2.2040:val_acc:0.5240</t>
  </si>
  <si>
    <t>276s:loss:0.2930:acc:0.9150:val_loss:2.1794:val_acc:0.5295</t>
  </si>
  <si>
    <t>277s:loss:0.2505:acc:0.9256:val_loss:2.2677:val_acc:0.5160</t>
  </si>
  <si>
    <t>286s:loss:1.0388:acc:0.6896:val_loss:1.8594:val_acc:0.5080</t>
  </si>
  <si>
    <t>286s:loss:0.9706:acc:0.7092:val_loss:1.6913:val_acc:0.5360</t>
  </si>
  <si>
    <t>287s:loss:0.9061:acc:0.7270:val_loss:1.7604:val_acc:0.5335</t>
  </si>
  <si>
    <t>286s:loss:0.8417:acc:0.7421:val_loss:1.7591:val_acc:0.5395</t>
  </si>
  <si>
    <t>287s:loss:0.7601:acc:0.7738:val_loss:1.8071:val_acc:0.5400</t>
  </si>
  <si>
    <t>287s:loss:0.7384:acc:0.7751:val_loss:1.7125:val_acc:0.5345</t>
  </si>
  <si>
    <t>285s:loss:0.6194:acc:0.8181:val_loss:1.9811:val_acc:0.5095</t>
  </si>
  <si>
    <t>285s:loss:0.5153:acc:0.8444:val_loss:2.0659:val_acc:0.5140</t>
  </si>
  <si>
    <t>285s:loss:0.4845:acc:0.8564:val_loss:2.1589:val_acc:0.5085</t>
  </si>
  <si>
    <t>286s:loss:0.4496:acc:0.8636:val_loss:2.1488:val_acc:0.5020</t>
  </si>
  <si>
    <t>286s:loss:0.4126:acc:0.8729:val_loss:2.1576:val_acc:0.5170</t>
  </si>
  <si>
    <t>287s:loss:0.3680:acc:0.8896:val_loss:2.1472:val_acc:0.5165</t>
  </si>
  <si>
    <t>299s:loss:1.1664:acc:0.6583:val_loss:1.8597:val_acc:0.5295</t>
  </si>
  <si>
    <t>303s:loss:1.1211:acc:0.6651:val_loss:1.7332:val_acc:0.5370</t>
  </si>
  <si>
    <t>300s:loss:1.0550:acc:0.6859:val_loss:1.7757:val_acc:0.5280</t>
  </si>
  <si>
    <t>301s:loss:0.9827:acc:0.7049:val_loss:1.7485:val_acc:0.5265</t>
  </si>
  <si>
    <t>312s:loss:0.9374:acc:0.7209:val_loss:1.7788:val_acc:0.5385</t>
  </si>
  <si>
    <t>312s:loss:0.8937:acc:0.7348:val_loss:1.7844:val_acc:0.5425</t>
  </si>
  <si>
    <t>142s:loss:0.4178:acc:0.8815:val_loss:2.1459:val_acc:0.5100</t>
  </si>
  <si>
    <t>141s:loss:0.3586:acc:0.8962:val_loss:2.1007:val_acc:0.5165</t>
  </si>
  <si>
    <t>141s:loss:0.2950:acc:0.9166:val_loss:2.1690:val_acc:0.5420</t>
  </si>
  <si>
    <t>141s:loss:0.2732:acc:0.9194:val_loss:2.1680:val_acc:0.5310</t>
  </si>
  <si>
    <t>142s:loss:0.2536:acc:0.9249:val_loss:2.2518:val_acc:0.5075</t>
  </si>
  <si>
    <t>142s:loss:0.2325:acc:0.9336:val_loss:2.3148:val_acc:0.5310</t>
  </si>
  <si>
    <t>140s:loss:1.0765:acc:0.6785:val_loss:1.6841:val_acc:0.5360</t>
  </si>
  <si>
    <t>143s:loss:0.9789:acc:0.7116:val_loss:1.7014:val_acc:0.5415</t>
  </si>
  <si>
    <t>140s:loss:0.9045:acc:0.7271:val_loss:1.6526:val_acc:0.5570</t>
  </si>
  <si>
    <t>141s:loss:0.8332:acc:0.7506:val_loss:1.7496:val_acc:0.5510</t>
  </si>
  <si>
    <t>145s:loss:0.7590:acc:0.7741:val_loss:1.7276:val_acc:0.5510</t>
  </si>
  <si>
    <t>146s:loss:0.7206:acc:0.7875:val_loss:1.6993:val_acc:0.5590</t>
  </si>
  <si>
    <t>147s:loss:0.4615:acc:0.8670:val_loss:1.9820:val_acc:0.5380</t>
  </si>
  <si>
    <t>163s:loss:0.3937:acc:0.8848:val_loss:1.9546:val_acc:0.5315</t>
  </si>
  <si>
    <t>159s:loss:0.3433:acc:0.9001:val_loss:2.0301:val_acc:0.5470</t>
  </si>
  <si>
    <t>143s:loss:0.3121:acc:0.9105:val_loss:2.0070:val_acc:0.5540</t>
  </si>
  <si>
    <t>142s:loss:0.2790:acc:0.9212:val_loss:2.2178:val_acc:0.5200</t>
  </si>
  <si>
    <t>143s:loss:0.2556:acc:0.9263:val_loss:2.2025:val_acc:0.5375</t>
  </si>
  <si>
    <t>151s:loss:1.3916:acc:0.5801:val_loss:1.7938:val_acc:0.5160</t>
  </si>
  <si>
    <t>149s:loss:1.3005:acc:0.6091:val_loss:1.7415:val_acc:0.5240</t>
  </si>
  <si>
    <t>149s:loss:1.2102:acc:0.6374:val_loss:1.6997:val_acc:0.5525</t>
  </si>
  <si>
    <t>150s:loss:1.1345:acc:0.6623:val_loss:1.6973:val_acc:0.5505</t>
  </si>
  <si>
    <t>154s:loss:1.0762:acc:0.6836:val_loss:1.6819:val_acc:0.5440</t>
  </si>
  <si>
    <t>150s:loss:1.0142:acc:0.6970:val_loss:1.7495:val_acc:0.5495</t>
  </si>
  <si>
    <t>67s:loss:0.7942:acc:0.7620:val_loss:1.9161:val_acc:0.5080</t>
  </si>
  <si>
    <t>67s:loss:0.6817:acc:0.7988:val_loss:1.9771:val_acc:0.5210</t>
  </si>
  <si>
    <t>68s:loss:0.6205:acc:0.8196:val_loss:1.9851:val_acc:0.5255</t>
  </si>
  <si>
    <t>67s:loss:0.5975:acc:0.8234:val_loss:1.9742:val_acc:0.5220</t>
  </si>
  <si>
    <t>67s:loss:0.5458:acc:0.8397:val_loss:2.0640:val_acc:0.5170</t>
  </si>
  <si>
    <t>67s:loss:0.5050:acc:0.8535:val_loss:2.1513:val_acc:0.5025</t>
  </si>
  <si>
    <t>75s:loss:1.2064:acc:0.6509:val_loss:1.8035:val_acc:0.5210</t>
  </si>
  <si>
    <t>75s:loss:1.1269:acc:0.6714:val_loss:1.7666:val_acc:0.5325</t>
  </si>
  <si>
    <t>74s:loss:1.0954:acc:0.6788:val_loss:1.8203:val_acc:0.5170</t>
  </si>
  <si>
    <t>74s:loss:1.0400:acc:0.6911:val_loss:1.8428:val_acc:0.5230</t>
  </si>
  <si>
    <t>74s:loss:0.9768:acc:0.7092:val_loss:1.7778:val_acc:0.5435</t>
  </si>
  <si>
    <t>75s:loss:0.9572:acc:0.7201:val_loss:1.8089:val_acc:0.5315</t>
  </si>
  <si>
    <t>69s:loss:0.9314:acc:0.7234:val_loss:1.9557:val_acc:0.5205</t>
  </si>
  <si>
    <t>69s:loss:0.8629:acc:0.7432:val_loss:1.9984:val_acc:0.4970</t>
  </si>
  <si>
    <t>69s:loss:0.7818:acc:0.7655:val_loss:1.9753:val_acc:0.5205</t>
  </si>
  <si>
    <t>69s:loss:0.7305:acc:0.7870:val_loss:1.9729:val_acc:0.5260</t>
  </si>
  <si>
    <t>69s:loss:0.6729:acc:0.8033:val_loss:2.0841:val_acc:0.5140</t>
  </si>
  <si>
    <t>69s:loss:0.6330:acc:0.8119:val_loss:2.0367:val_acc:0.5160</t>
  </si>
  <si>
    <t>73s:loss:1.5701:acc:0.5191:val_loss:1.8534:val_acc:0.4985</t>
  </si>
  <si>
    <t>73s:loss:1.4873:acc:0.5444:val_loss:1.8867:val_acc:0.4950</t>
  </si>
  <si>
    <t>73s:loss:1.4428:acc:0.5700:val_loss:1.8111:val_acc:0.5085</t>
  </si>
  <si>
    <t>72s:loss:1.3821:acc:0.5821:val_loss:1.8610:val_acc:0.5130</t>
  </si>
  <si>
    <t>73s:loss:1.3363:acc:0.6044:val_loss:1.8272:val_acc:0.5035</t>
  </si>
  <si>
    <t>73s:loss:1.2700:acc:0.6209:val_loss:1.7757:val_acc:0.5275</t>
  </si>
  <si>
    <t>51s:loss:0.5114:acc:0.8553:val_loss:2.0245:val_acc:0.5285</t>
  </si>
  <si>
    <t>49s:loss:0.4477:acc:0.8750:val_loss:2.1781:val_acc:0.5150</t>
  </si>
  <si>
    <t>50s:loss:0.4108:acc:0.8856:val_loss:2.0758:val_acc:0.5425</t>
  </si>
  <si>
    <t>51s:loss:0.3610:acc:0.8974:val_loss:2.1248:val_acc:0.5395</t>
  </si>
  <si>
    <t>49s:loss:0.3185:acc:0.9120:val_loss:2.2063:val_acc:0.5270</t>
  </si>
  <si>
    <t>50s:loss:0.2905:acc:0.9195:val_loss:2.3375:val_acc:0.5180</t>
  </si>
  <si>
    <t>48s:loss:1.1737:acc:0.6529:val_loss:1.8018:val_acc:0.5260</t>
  </si>
  <si>
    <t>49s:loss:1.1115:acc:0.6733:val_loss:1.6642:val_acc:0.5560</t>
  </si>
  <si>
    <t>48s:loss:1.0358:acc:0.6975:val_loss:1.7296:val_acc:0.5535</t>
  </si>
  <si>
    <t>49s:loss:0.9723:acc:0.7126:val_loss:1.7457:val_acc:0.5580</t>
  </si>
  <si>
    <t>49s:loss:0.9414:acc:0.7208:val_loss:1.7187:val_acc:0.5470</t>
  </si>
  <si>
    <t>48s:loss:0.8699:acc:0.7474:val_loss:1.6950:val_acc:0.5680</t>
  </si>
  <si>
    <t>50s:loss:0.7008:acc:0.8057:val_loss:2.0188:val_acc:0.5195</t>
  </si>
  <si>
    <t>52s:loss:0.6096:acc:0.8327:val_loss:2.1063:val_acc:0.5240</t>
  </si>
  <si>
    <t>50s:loss:0.5466:acc:0.8417:val_loss:2.1468:val_acc:0.5305</t>
  </si>
  <si>
    <t>51s:loss:0.4705:acc:0.8676:val_loss:2.1943:val_acc:0.5295</t>
  </si>
  <si>
    <t>51s:loss:0.4364:acc:0.8771:val_loss:2.3158:val_acc:0.5230</t>
  </si>
  <si>
    <t>51s:loss:0.4003:acc:0.8885:val_loss:2.3140:val_acc:0.5265</t>
  </si>
  <si>
    <t>41s:loss:1.5714:acc:0.5165:val_loss:1.8545:val_acc:0.4880</t>
  </si>
  <si>
    <t>42s:loss:1.5010:acc:0.5437:val_loss:1.8060:val_acc:0.5095</t>
  </si>
  <si>
    <t>42s:loss:1.4298:acc:0.5647:val_loss:1.8250:val_acc:0.5040</t>
  </si>
  <si>
    <t>42s:loss:1.3592:acc:0.5884:val_loss:1.7844:val_acc:0.5175</t>
  </si>
  <si>
    <t>41s:loss:1.2731:acc:0.6207:val_loss:1.7848:val_acc:0.5115</t>
  </si>
  <si>
    <t>41s:loss:1.2191:acc:0.6375:val_loss:1.7262:val_acc:0.5405</t>
  </si>
  <si>
    <t>136s:loss:0.6694:acc:0.7991:val_loss:1.8823:val_acc:0.5330</t>
  </si>
  <si>
    <t>137s:loss:0.5998:acc:0.8220:val_loss:2.0228:val_acc:0.5275</t>
  </si>
  <si>
    <t>137s:loss:0.5621:acc:0.8350:val_loss:2.0412:val_acc:0.5215</t>
  </si>
  <si>
    <t>137s:loss:0.4916:acc:0.8543:val_loss:1.9957:val_acc:0.5285</t>
  </si>
  <si>
    <t>137s:loss:0.4696:acc:0.8585:val_loss:2.1377:val_acc:0.5190</t>
  </si>
  <si>
    <t>137s:loss:0.4154:acc:0.8752:val_loss:2.1218:val_acc:0.5065</t>
  </si>
  <si>
    <t>141s:loss:1.1797:acc:0.6501:val_loss:1.7309:val_acc:0.5245</t>
  </si>
  <si>
    <t>141s:loss:1.1132:acc:0.6663:val_loss:1.6788:val_acc:0.5395</t>
  </si>
  <si>
    <t>142s:loss:1.0499:acc:0.6873:val_loss:1.7334:val_acc:0.5280</t>
  </si>
  <si>
    <t>141s:loss:1.0263:acc:0.6946:val_loss:1.7752:val_acc:0.5280</t>
  </si>
  <si>
    <t>141s:loss:0.9500:acc:0.7149:val_loss:1.7553:val_acc:0.5465</t>
  </si>
  <si>
    <t>141s:loss:0.9312:acc:0.7248:val_loss:1.7193:val_acc:0.5505</t>
  </si>
  <si>
    <t>140s:loss:0.8353:acc:0.7464:val_loss:1.9842:val_acc:0.5120</t>
  </si>
  <si>
    <t>140s:loss:0.7614:acc:0.7666:val_loss:1.9433:val_acc:0.5110</t>
  </si>
  <si>
    <t>139s:loss:0.6906:acc:0.7935:val_loss:2.0634:val_acc:0.5190</t>
  </si>
  <si>
    <t>139s:loss:0.6387:acc:0.8089:val_loss:1.9263:val_acc:0.5160</t>
  </si>
  <si>
    <t>139s:loss:0.5972:acc:0.8229:val_loss:2.0789:val_acc:0.5070</t>
  </si>
  <si>
    <t>140s:loss:0.5552:acc:0.8353:val_loss:2.0378:val_acc:0.5340</t>
  </si>
  <si>
    <t>141s:loss:1.4161:acc:0.5717:val_loss:1.7901:val_acc:0.5085</t>
  </si>
  <si>
    <t>142s:loss:1.3316:acc:0.5979:val_loss:1.7660:val_acc:0.5160</t>
  </si>
  <si>
    <t>141s:loss:1.2904:acc:0.6124:val_loss:1.7975:val_acc:0.5220</t>
  </si>
  <si>
    <t>141s:loss:1.2303:acc:0.6309:val_loss:1.7662:val_acc:0.5375</t>
  </si>
  <si>
    <t>141s:loss:1.1859:acc:0.6401:val_loss:1.7977:val_acc:0.5290</t>
  </si>
  <si>
    <t>141s:loss:1.1271:acc:0.6673:val_loss:1.7294:val_acc:0.5380</t>
  </si>
  <si>
    <t>75s:loss:0.4900:acc:0.8578:val_loss:1.9908:val_acc:0.5170</t>
  </si>
  <si>
    <t>74s:loss:0.4491:acc:0.8689:val_loss:2.0801:val_acc:0.5225</t>
  </si>
  <si>
    <t>74s:loss:0.4002:acc:0.8842:val_loss:2.0727:val_acc:0.5215</t>
  </si>
  <si>
    <t>74s:loss:0.3392:acc:0.8996:val_loss:2.0905:val_acc:0.5275</t>
  </si>
  <si>
    <t>75s:loss:0.3183:acc:0.9075:val_loss:2.2692:val_acc:0.5145</t>
  </si>
  <si>
    <t>74s:loss:0.2954:acc:0.9154:val_loss:2.1894:val_acc:0.5195</t>
  </si>
  <si>
    <t>74s:loss:1.1755:acc:0.6576:val_loss:1.6766:val_acc:0.5350</t>
  </si>
  <si>
    <t>74s:loss:1.0993:acc:0.6757:val_loss:1.7085:val_acc:0.5500</t>
  </si>
  <si>
    <t>73s:loss:1.0188:acc:0.6973:val_loss:1.6406:val_acc:0.5685</t>
  </si>
  <si>
    <t>74s:loss:0.9440:acc:0.7199:val_loss:1.6692:val_acc:0.5540</t>
  </si>
  <si>
    <t>74s:loss:0.8938:acc:0.7328:val_loss:1.6260:val_acc:0.5560</t>
  </si>
  <si>
    <t>74s:loss:0.8435:acc:0.7504:val_loss:1.6895:val_acc:0.5490</t>
  </si>
  <si>
    <t>76s:loss:0.6384:acc:0.8171:val_loss:1.9361:val_acc:0.5265</t>
  </si>
  <si>
    <t>76s:loss:0.5582:acc:0.8392:val_loss:1.9345:val_acc:0.5360</t>
  </si>
  <si>
    <t>76s:loss:0.5322:acc:0.8480:val_loss:2.0154:val_acc:0.5270</t>
  </si>
  <si>
    <t>76s:loss:0.4440:acc:0.8740:val_loss:2.0216:val_acc:0.5410</t>
  </si>
  <si>
    <t>76s:loss:0.4116:acc:0.8796:val_loss:2.0587:val_acc:0.5445</t>
  </si>
  <si>
    <t>76s:loss:0.3804:acc:0.8896:val_loss:2.0800:val_acc:0.5390</t>
  </si>
  <si>
    <t>75s:loss:1.5077:acc:0.5419:val_loss:1.8476:val_acc:0.4975</t>
  </si>
  <si>
    <t>75s:loss:1.4133:acc:0.5701:val_loss:1.7690:val_acc:0.5175</t>
  </si>
  <si>
    <t>75s:loss:1.3309:acc:0.6036:val_loss:1.7232:val_acc:0.5370</t>
  </si>
  <si>
    <t>76s:loss:1.2531:acc:0.6226:val_loss:1.7078:val_acc:0.5465</t>
  </si>
  <si>
    <t>76s:loss:1.1873:acc:0.6454:val_loss:1.6889:val_acc:0.5415</t>
  </si>
  <si>
    <t>75s:loss:1.1315:acc:0.6576:val_loss:1.6637:val_acc:0.5670</t>
  </si>
  <si>
    <t>277s:loss:0.6379:acc:0.8139:val_loss:1.9033:val_acc:0.5080</t>
  </si>
  <si>
    <t>279s:loss:0.5949:acc:0.8247:val_loss:1.8939:val_acc:0.5350</t>
  </si>
  <si>
    <t>279s:loss:0.5284:acc:0.8401:val_loss:1.9854:val_acc:0.5200</t>
  </si>
  <si>
    <t>279s:loss:0.4832:acc:0.8574:val_loss:1.9979:val_acc:0.5445</t>
  </si>
  <si>
    <t>277s:loss:0.4405:acc:0.8671:val_loss:2.0862:val_acc:0.4940</t>
  </si>
  <si>
    <t>279s:loss:0.3922:acc:0.8826:val_loss:2.0291:val_acc:0.5055</t>
  </si>
  <si>
    <t>285s:loss:1.1585:acc:0.6534:val_loss:1.7466:val_acc:0.5285</t>
  </si>
  <si>
    <t>284s:loss:1.0915:acc:0.6813:val_loss:1.7286:val_acc:0.5360</t>
  </si>
  <si>
    <t>285s:loss:1.0572:acc:0.6815:val_loss:1.7420:val_acc:0.5300</t>
  </si>
  <si>
    <t>285s:loss:0.9916:acc:0.7053:val_loss:1.7495:val_acc:0.5360</t>
  </si>
  <si>
    <t>285s:loss:0.9317:acc:0.7225:val_loss:1.7253:val_acc:0.5495</t>
  </si>
  <si>
    <t>286s:loss:0.9066:acc:0.7294:val_loss:1.7818:val_acc:0.5390</t>
  </si>
  <si>
    <t>292s:loss:0.7882:acc:0.7650:val_loss:1.8759:val_acc:0.5245</t>
  </si>
  <si>
    <t>291s:loss:0.6867:acc:0.7954:val_loss:1.8614:val_acc:0.5080</t>
  </si>
  <si>
    <t>294s:loss:0.6273:acc:0.8133:val_loss:1.8723:val_acc:0.5350</t>
  </si>
  <si>
    <t>295s:loss:0.5967:acc:0.8201:val_loss:1.9656:val_acc:0.5130</t>
  </si>
  <si>
    <t>295s:loss:0.5278:acc:0.8458:val_loss:1.9727:val_acc:0.5215</t>
  </si>
  <si>
    <t>295s:loss:0.4883:acc:0.8568:val_loss:1.9578:val_acc:0.5380</t>
  </si>
  <si>
    <t>303s:loss:2.6893:acc:0.1797:val_loss:2.6996:val_acc:0.2725</t>
  </si>
  <si>
    <t>297s:loss:2.4644:acc:0.2300:val_loss:2.4524:val_acc:0.3375</t>
  </si>
  <si>
    <t>297s:loss:2.2708:acc:0.2894:val_loss:2.2495:val_acc:0.3905</t>
  </si>
  <si>
    <t>297s:loss:2.0880:acc:0.3479:val_loss:2.0843:val_acc:0.4405</t>
  </si>
  <si>
    <t>325s:loss:1.9314:acc:0.3959:val_loss:2.1209:val_acc:0.4245</t>
  </si>
  <si>
    <t>355s:loss:1.8138:acc:0.4424:val_loss:1.9585:val_acc:0.4670</t>
  </si>
  <si>
    <t>142s:loss:0.5084:acc:0.8491:val_loss:1.8971:val_acc:0.5335</t>
  </si>
  <si>
    <t>159s:loss:0.4597:acc:0.8661:val_loss:1.9946:val_acc:0.5215</t>
  </si>
  <si>
    <t>167s:loss:0.4446:acc:0.8714:val_loss:1.9646:val_acc:0.5475</t>
  </si>
  <si>
    <t>167s:loss:0.3782:acc:0.8869:val_loss:1.9971:val_acc:0.5270</t>
  </si>
  <si>
    <t>142s:loss:0.3131:acc:0.9103:val_loss:2.0795:val_acc:0.5280</t>
  </si>
  <si>
    <t>142s:loss:0.3072:acc:0.9105:val_loss:2.0410:val_acc:0.5400</t>
  </si>
  <si>
    <t>141s:loss:1.2199:acc:0.6410:val_loss:1.6886:val_acc:0.5425</t>
  </si>
  <si>
    <t>140s:loss:1.1360:acc:0.6626:val_loss:1.6869:val_acc:0.5270</t>
  </si>
  <si>
    <t>139s:loss:1.0712:acc:0.6781:val_loss:1.6083:val_acc:0.5390</t>
  </si>
  <si>
    <t>139s:loss:1.0162:acc:0.7020:val_loss:1.7031:val_acc:0.5395</t>
  </si>
  <si>
    <t>139s:loss:0.9260:acc:0.7246:val_loss:1.6723:val_acc:0.5575</t>
  </si>
  <si>
    <t>140s:loss:0.8745:acc:0.7434:val_loss:1.6587:val_acc:0.5535</t>
  </si>
  <si>
    <t>170s:loss:0.6298:acc:0.8117:val_loss:1.9018:val_acc:0.5215</t>
  </si>
  <si>
    <t>171s:loss:0.5724:acc:0.8329:val_loss:1.9710:val_acc:0.5290</t>
  </si>
  <si>
    <t>170s:loss:0.5060:acc:0.8516:val_loss:1.8237:val_acc:0.5460</t>
  </si>
  <si>
    <t>169s:loss:0.4585:acc:0.8655:val_loss:1.9105:val_acc:0.5310</t>
  </si>
  <si>
    <t>145s:loss:0.4016:acc:0.8810:val_loss:1.9786:val_acc:0.5360</t>
  </si>
  <si>
    <t>145s:loss:0.3697:acc:0.8916:val_loss:2.0588:val_acc:0.5545</t>
  </si>
  <si>
    <t>172s:loss:1.4699:acc:0.5565:val_loss:1.7351:val_acc:0.5230</t>
  </si>
  <si>
    <t>174s:loss:1.3842:acc:0.5834:val_loss:1.7192:val_acc:0.5395</t>
  </si>
  <si>
    <t>174s:loss:1.3079:acc:0.6046:val_loss:1.7229:val_acc:0.5375</t>
  </si>
  <si>
    <t>173s:loss:1.2394:acc:0.6330:val_loss:1.7694:val_acc:0.5260</t>
  </si>
  <si>
    <t>173s:loss:1.1756:acc:0.6500:val_loss:1.7112:val_acc:0.5410</t>
  </si>
  <si>
    <t>149s:loss:1.1086:acc:0.6735:val_loss:1.6701:val_acc:0.5545</t>
  </si>
  <si>
    <t>('Cell type:LSTM:Drop Input:0.1:Cell Count:64:'Multi-layer:True:Drop Recurrent:0.0:Optimizer:adam</t>
  </si>
  <si>
    <t>('Cell type:LSTM:Drop Input:0.1:Cell Count:64:'Multi-layer:True:Drop Recurrent:0.0:Optimizer:rmsprop</t>
  </si>
  <si>
    <t>('Cell type:LSTM:Drop Input:0.1:Cell Count:64:'Multi-layer:True:Drop Recurrent:0.2:Optimizer:adam</t>
  </si>
  <si>
    <t>('Cell type:LSTM:Drop Input:0.1:Cell Count:64:'Multi-layer:True:Drop Recurrent:0.2:Optimizer:rmsprop</t>
  </si>
  <si>
    <t>('Cell type:LSTM:Drop Input:0.1:Cell Count:64:'Multi-layer:False:Drop Recurrent:0.0:Optimizer:adam</t>
  </si>
  <si>
    <t>('Cell type:LSTM:Drop Input:0.1:Cell Count:64:'Multi-layer:False:Drop Recurrent:0.0:Optimizer:rmsprop</t>
  </si>
  <si>
    <t>('Cell type:LSTM:Drop Input:0.1:Cell Count:64:'Multi-layer:False:Drop Recurrent:0.2:Optimizer:adam</t>
  </si>
  <si>
    <t>('Cell type:LSTM:Drop Input:0.1:Cell Count:64:'Multi-layer:False:Drop Recurrent:0.2:Optimizer:rmsprop</t>
  </si>
  <si>
    <t>('Cell type:LSTM:Drop Input:0.1:Cell Count:128:'Multi-layer:True:Drop Recurrent:0.0:Optimizer:adam</t>
  </si>
  <si>
    <t>('Cell type:LSTM:Drop Input:0.1:Cell Count:128:'Multi-layer:True:Drop Recurrent:0.0:Optimizer:rmsprop</t>
  </si>
  <si>
    <t>('Cell type:LSTM:Drop Input:0.1:Cell Count:128:'Multi-layer:True:Drop Recurrent:0.2:Optimizer:adam</t>
  </si>
  <si>
    <t>('Cell type:LSTM:Drop Input:0.1:Cell Count:128:'Multi-layer:True:Drop Recurrent:0.2:Optimizer:rmsprop</t>
  </si>
  <si>
    <t>('Cell type:LSTM:Drop Input:0.1:Cell Count:128:'Multi-layer:False:Drop Recurrent:0.0:Optimizer:adam</t>
  </si>
  <si>
    <t>('Cell type:LSTM:Drop Input:0.1:Cell Count:128:'Multi-layer:False:Drop Recurrent:0.0:Optimizer:rmsprop</t>
  </si>
  <si>
    <t>('Cell type:LSTM:Drop Input:0.1:Cell Count:128:'Multi-layer:False:Drop Recurrent:0.2:Optimizer:adam</t>
  </si>
  <si>
    <t>('Cell type:LSTM:Drop Input:0.1:Cell Count:128:'Multi-layer:False:Drop Recurrent:0.2:Optimizer:rmsprop</t>
  </si>
  <si>
    <t>('Cell type:LSTM:Drop Input:0.1:Cell Count:256:'Multi-layer:True:Drop Recurrent:0.0:Optimizer:adam</t>
  </si>
  <si>
    <t>('Cell type:LSTM:Drop Input:0.1:Cell Count:256:'Multi-layer:True:Drop Recurrent:0.0:Optimizer:rmsprop</t>
  </si>
  <si>
    <t>('Cell type:LSTM:Drop Input:0.1:Cell Count:256:'Multi-layer:True:Drop Recurrent:0.2:Optimizer:adam</t>
  </si>
  <si>
    <t>('Cell type:LSTM:Drop Input:0.1:Cell Count:256:'Multi-layer:True:Drop Recurrent:0.2:Optimizer:rmsprop</t>
  </si>
  <si>
    <t>('Cell type:LSTM:Drop Input:0.1:Cell Count:256:'Multi-layer:False:Drop Recurrent:0.0:Optimizer:adam</t>
  </si>
  <si>
    <t>('Cell type:LSTM:Drop Input:0.1:Cell Count:256:'Multi-layer:False:Drop Recurrent:0.0:Optimizer:rmsprop</t>
  </si>
  <si>
    <t>('Cell type:LSTM:Drop Input:0.1:Cell Count:256:'Multi-layer:False:Drop Recurrent:0.2:Optimizer:adam</t>
  </si>
  <si>
    <t>('Cell type:LSTM:Drop Input:0.1:Cell Count:256:'Multi-layer:False:Drop Recurrent:0.2:Optimizer:rmsprop</t>
  </si>
  <si>
    <t>('Cell type:LSTM:Drop Input:0.3:Cell Count:64:'Multi-layer:True:Drop Recurrent:0.0:Optimizer:adam</t>
  </si>
  <si>
    <t>('Cell type:LSTM:Drop Input:0.3:Cell Count:64:'Multi-layer:True:Drop Recurrent:0.0:Optimizer:rmsprop</t>
  </si>
  <si>
    <t>('Cell type:LSTM:Drop Input:0.3:Cell Count:64:'Multi-layer:True:Drop Recurrent:0.2:Optimizer:adam</t>
  </si>
  <si>
    <t>('Cell type:LSTM:Drop Input:0.3:Cell Count:64:'Multi-layer:True:Drop Recurrent:0.2:Optimizer:rmsprop</t>
  </si>
  <si>
    <t>('Cell type:LSTM:Drop Input:0.3:Cell Count:64:'Multi-layer:False:Drop Recurrent:0.0:Optimizer:adam</t>
  </si>
  <si>
    <t>('Cell type:LSTM:Drop Input:0.3:Cell Count:64:'Multi-layer:False:Drop Recurrent:0.0:Optimizer:rmsprop</t>
  </si>
  <si>
    <t>('Cell type:LSTM:Drop Input:0.3:Cell Count:64:'Multi-layer:False:Drop Recurrent:0.2:Optimizer:adam</t>
  </si>
  <si>
    <t>('Cell type:LSTM:Drop Input:0.3:Cell Count:64:'Multi-layer:False:Drop Recurrent:0.2:Optimizer:rmsprop</t>
  </si>
  <si>
    <t>('Cell type:LSTM:Drop Input:0.3:Cell Count:128:'Multi-layer:True:Drop Recurrent:0.0:Optimizer:adam</t>
  </si>
  <si>
    <t>('Cell type:LSTM:Drop Input:0.3:Cell Count:128:'Multi-layer:True:Drop Recurrent:0.0:Optimizer:rmsprop</t>
  </si>
  <si>
    <t>('Cell type:LSTM:Drop Input:0.3:Cell Count:128:'Multi-layer:True:Drop Recurrent:0.2:Optimizer:adam</t>
  </si>
  <si>
    <t>('Cell type:LSTM:Drop Input:0.3:Cell Count:128:'Multi-layer:True:Drop Recurrent:0.2:Optimizer:rmsprop</t>
  </si>
  <si>
    <t>('Cell type:LSTM:Drop Input:0.3:Cell Count:128:'Multi-layer:False:Drop Recurrent:0.0:Optimizer:adam</t>
  </si>
  <si>
    <t>('Cell type:LSTM:Drop Input:0.3:Cell Count:128:'Multi-layer:False:Drop Recurrent:0.0:Optimizer:rmsprop</t>
  </si>
  <si>
    <t>('Cell type:LSTM:Drop Input:0.3:Cell Count:128:'Multi-layer:False:Drop Recurrent:0.2:Optimizer:adam</t>
  </si>
  <si>
    <t>('Cell type:LSTM:Drop Input:0.3:Cell Count:128:'Multi-layer:False:Drop Recurrent:0.2:Optimizer:rmsprop</t>
  </si>
  <si>
    <t>('Cell type:LSTM:Drop Input:0.3:Cell Count:256:'Multi-layer:True:Drop Recurrent:0.0:Optimizer:adam</t>
  </si>
  <si>
    <t>('Cell type:LSTM:Drop Input:0.3:Cell Count:256:'Multi-layer:True:Drop Recurrent:0.0:Optimizer:rmsprop</t>
  </si>
  <si>
    <t>('Cell type:LSTM:Drop Input:0.3:Cell Count:256:'Multi-layer:True:Drop Recurrent:0.2:Optimizer:adam</t>
  </si>
  <si>
    <t>('Cell type:LSTM:Drop Input:0.3:Cell Count:256:'Multi-layer:True:Drop Recurrent:0.2:Optimizer:rmsprop</t>
  </si>
  <si>
    <t>('Cell type:LSTM:Drop Input:0.3:Cell Count:256:'Multi-layer:False:Drop Recurrent:0.0:Optimizer:adam</t>
  </si>
  <si>
    <t>('Cell type:LSTM:Drop Input:0.3:Cell Count:256:'Multi-layer:False:Drop Recurrent:0.0:Optimizer:rmsprop</t>
  </si>
  <si>
    <t>('Cell type:LSTM:Drop Input:0.3:Cell Count:256:'Multi-layer:False:Drop Recurrent:0.2:Optimizer:adam</t>
  </si>
  <si>
    <t>('Cell type:LSTM:Drop Input:0.3:Cell Count:256:'Multi-layer:False:Drop Recurrent:0.2:Optimizer:rmsprop</t>
  </si>
  <si>
    <t>('Cell type:LSTM:Drop Input:0.5:Cell Count:64:'Multi-layer:True:Drop Recurrent:0.0:Optimizer:adam</t>
  </si>
  <si>
    <t>('Cell type:LSTM:Drop Input:0.5:Cell Count:64:'Multi-layer:True:Drop Recurrent:0.0:Optimizer:rmsprop</t>
  </si>
  <si>
    <t>('Cell type:LSTM:Drop Input:0.5:Cell Count:64:'Multi-layer:True:Drop Recurrent:0.2:Optimizer:adam</t>
  </si>
  <si>
    <t>('Cell type:LSTM:Drop Input:0.5:Cell Count:64:'Multi-layer:True:Drop Recurrent:0.2:Optimizer:rmsprop</t>
  </si>
  <si>
    <t>('Cell type:LSTM:Drop Input:0.5:Cell Count:64:'Multi-layer:False:Drop Recurrent:0.0:Optimizer:adam</t>
  </si>
  <si>
    <t>('Cell type:LSTM:Drop Input:0.5:Cell Count:64:'Multi-layer:False:Drop Recurrent:0.0:Optimizer:rmsprop</t>
  </si>
  <si>
    <t>('Cell type:LSTM:Drop Input:0.5:Cell Count:64:'Multi-layer:False:Drop Recurrent:0.2:Optimizer:adam</t>
  </si>
  <si>
    <t>('Cell type:LSTM:Drop Input:0.5:Cell Count:64:'Multi-layer:False:Drop Recurrent:0.2:Optimizer:rmsprop</t>
  </si>
  <si>
    <t>('Cell type:LSTM:Drop Input:0.5:Cell Count:128:'Multi-layer:True:Drop Recurrent:0.0:Optimizer:adam</t>
  </si>
  <si>
    <t>('Cell type:LSTM:Drop Input:0.5:Cell Count:128:'Multi-layer:True:Drop Recurrent:0.0:Optimizer:rmsprop</t>
  </si>
  <si>
    <t>('Cell type:LSTM:Drop Input:0.5:Cell Count:128:'Multi-layer:True:Drop Recurrent:0.2:Optimizer:adam</t>
  </si>
  <si>
    <t>('Cell type:LSTM:Drop Input:0.5:Cell Count:128:'Multi-layer:True:Drop Recurrent:0.2:Optimizer:rmsprop</t>
  </si>
  <si>
    <t>('Cell type:LSTM:Drop Input:0.5:Cell Count:128:'Multi-layer:False:Drop Recurrent:0.0:Optimizer:adam</t>
  </si>
  <si>
    <t>('Cell type:LSTM:Drop Input:0.5:Cell Count:128:'Multi-layer:False:Drop Recurrent:0.0:Optimizer:rmsprop</t>
  </si>
  <si>
    <t>('Cell type:LSTM:Drop Input:0.5:Cell Count:128:'Multi-layer:False:Drop Recurrent:0.2:Optimizer:adam</t>
  </si>
  <si>
    <t>('Cell type:LSTM:Drop Input:0.5:Cell Count:128:'Multi-layer:False:Drop Recurrent:0.2:Optimizer:rmsprop</t>
  </si>
  <si>
    <t>('Cell type:LSTM:Drop Input:0.5:Cell Count:256:'Multi-layer:True:Drop Recurrent:0.0:Optimizer:adam</t>
  </si>
  <si>
    <t>('Cell type:LSTM:Drop Input:0.5:Cell Count:256:'Multi-layer:True:Drop Recurrent:0.0:Optimizer:rmsprop</t>
  </si>
  <si>
    <t>('Cell type:LSTM:Drop Input:0.5:Cell Count:256:'Multi-layer:True:Drop Recurrent:0.2:Optimizer:adam</t>
  </si>
  <si>
    <t>('Cell type:LSTM:Drop Input:0.5:Cell Count:256:'Multi-layer:True:Drop Recurrent:0.2:Optimizer:rmsprop</t>
  </si>
  <si>
    <t>('Cell type:LSTM:Drop Input:0.5:Cell Count:256:'Multi-layer:False:Drop Recurrent:0.0:Optimizer:adam</t>
  </si>
  <si>
    <t>('Cell type:LSTM:Drop Input:0.5:Cell Count:256:'Multi-layer:False:Drop Recurrent:0.0:Optimizer:rmsprop</t>
  </si>
  <si>
    <t>('Cell type:LSTM:Drop Input:0.5:Cell Count:256:'Multi-layer:False:Drop Recurrent:0.2:Optimizer:adam</t>
  </si>
  <si>
    <t>('Cell type:LSTM:Drop Input:0.5:Cell Count:256:'Multi-layer:False:Drop Recurrent:0.2:Optimizer:rmsprop</t>
  </si>
  <si>
    <t>LSTM</t>
  </si>
  <si>
    <t>Cell Count</t>
  </si>
  <si>
    <t>Optimizer</t>
  </si>
  <si>
    <t>adam</t>
  </si>
  <si>
    <t>rmsprop</t>
  </si>
  <si>
    <t>Time</t>
  </si>
  <si>
    <t>Loss</t>
  </si>
  <si>
    <t>Acc</t>
  </si>
  <si>
    <t>Train_Loss</t>
  </si>
  <si>
    <t>Train_Acc</t>
  </si>
  <si>
    <t>Cell Type</t>
  </si>
  <si>
    <t>Recurrent</t>
  </si>
  <si>
    <t>Multi-layer</t>
  </si>
  <si>
    <t>Max of Acc</t>
  </si>
  <si>
    <t>Takes longer, and performance is worse</t>
  </si>
  <si>
    <t>Confidence Level</t>
  </si>
  <si>
    <t>Comments</t>
  </si>
  <si>
    <t>Conclusion</t>
  </si>
  <si>
    <t>Takes about the same amout of time, performance for RMS is worse to start, but consistently better at in the end</t>
  </si>
  <si>
    <t>ON</t>
  </si>
  <si>
    <t>OFF</t>
  </si>
  <si>
    <t>Recurrent Dropout</t>
  </si>
  <si>
    <t>Result (Winner)</t>
  </si>
  <si>
    <t>RMS Prop</t>
  </si>
  <si>
    <t>Input Dropout Rate</t>
  </si>
  <si>
    <t>Input</t>
  </si>
  <si>
    <t>Both are around the same average accuracy and loss.  The curves actually cross each other. Inconclusive</t>
  </si>
  <si>
    <t>Wins on all accounts, sometimes by a small margin</t>
  </si>
  <si>
    <t>GRU</t>
  </si>
  <si>
    <t>Std Loss</t>
  </si>
  <si>
    <t>Std Acc</t>
  </si>
  <si>
    <t>OFF- loss</t>
  </si>
  <si>
    <t>OFF+ loss</t>
  </si>
  <si>
    <t>OFF+ acc</t>
  </si>
  <si>
    <t>OFF- acc</t>
  </si>
  <si>
    <t>ON+ loss</t>
  </si>
  <si>
    <t>ON- loss</t>
  </si>
  <si>
    <t>ON+ acc</t>
  </si>
  <si>
    <t>ON- acc</t>
  </si>
  <si>
    <t>30s:loss:0.2607:acc:0.9269:val_loss:2.1814:val_acc:0.5260</t>
  </si>
  <si>
    <t>30s:loss:0.2264:acc:0.9359:val_loss:2.4148:val_acc:0.5095</t>
  </si>
  <si>
    <t>30s:loss:0.1994:acc:0.9457:val_loss:2.3063:val_acc:0.5290</t>
  </si>
  <si>
    <t>30s:loss:0.1701:acc:0.9524:val_loss:2.3707:val_acc:0.5095</t>
  </si>
  <si>
    <t>30s:loss:0.1618:acc:0.9544:val_loss:2.3857:val_acc:0.5140</t>
  </si>
  <si>
    <t>30s:loss:0.1448:acc:0.9610:val_loss:2.4200:val_acc:0.5095</t>
  </si>
  <si>
    <t>30s:loss:0.8840:acc:0.7406:val_loss:1.7850:val_acc:0.5285</t>
  </si>
  <si>
    <t>30s:loss:0.8016:acc:0.7649:val_loss:1.8711:val_acc:0.5295</t>
  </si>
  <si>
    <t>30s:loss:0.7248:acc:0.7920:val_loss:1.9414:val_acc:0.5255</t>
  </si>
  <si>
    <t>32s:loss:0.6530:acc:0.8063:val_loss:1.9233:val_acc:0.5205</t>
  </si>
  <si>
    <t>30s:loss:0.6024:acc:0.8286:val_loss:1.9387:val_acc:0.5260</t>
  </si>
  <si>
    <t>30s:loss:0.5482:acc:0.8364:val_loss:2.0056:val_acc:0.5290</t>
  </si>
  <si>
    <t>37s:loss:0.3335:acc:0.9085:val_loss:2.1854:val_acc:0.5075</t>
  </si>
  <si>
    <t>37s:loss:0.2922:acc:0.9168:val_loss:2.2438:val_acc:0.5060</t>
  </si>
  <si>
    <t>36s:loss:0.2562:acc:0.9284:val_loss:2.2573:val_acc:0.5145</t>
  </si>
  <si>
    <t>33s:loss:0.2281:acc:0.9377:val_loss:2.3027:val_acc:0.5110</t>
  </si>
  <si>
    <t>32s:loss:0.2231:acc:0.9374:val_loss:2.3147:val_acc:0.5120</t>
  </si>
  <si>
    <t>32s:loss:0.2075:acc:0.9437:val_loss:2.3719:val_acc:0.4990</t>
  </si>
  <si>
    <t>34s:loss:1.1332:acc:0.6714:val_loss:1.7001:val_acc:0.5420</t>
  </si>
  <si>
    <t>33s:loss:1.0364:acc:0.6961:val_loss:1.7365:val_acc:0.5305</t>
  </si>
  <si>
    <t>33s:loss:0.9677:acc:0.7161:val_loss:1.7269:val_acc:0.5375</t>
  </si>
  <si>
    <t>33s:loss:0.8815:acc:0.7395:val_loss:1.6837:val_acc:0.5540</t>
  </si>
  <si>
    <t>33s:loss:0.8163:acc:0.7637:val_loss:1.7000:val_acc:0.5530</t>
  </si>
  <si>
    <t>33s:loss:0.7429:acc:0.7894:val_loss:1.7183:val_acc:0.5540</t>
  </si>
  <si>
    <t>57s:loss:0.2423:acc:0.9299:val_loss:2.2474:val_acc:0.5090</t>
  </si>
  <si>
    <t>64s:loss:0.2157:acc:0.9376:val_loss:2.2966:val_acc:0.5235</t>
  </si>
  <si>
    <t>63s:loss:0.1908:acc:0.9441:val_loss:2.4050:val_acc:0.4945</t>
  </si>
  <si>
    <t>64s:loss:0.1625:acc:0.9543:val_loss:2.3171:val_acc:0.5160</t>
  </si>
  <si>
    <t>63s:loss:0.1505:acc:0.9554:val_loss:2.3991:val_acc:0.5035</t>
  </si>
  <si>
    <t>64s:loss:0.1367:acc:0.9590:val_loss:2.4036:val_acc:0.5145</t>
  </si>
  <si>
    <t>57s:loss:0.7629:acc:0.7697:val_loss:1.7017:val_acc:0.5530</t>
  </si>
  <si>
    <t>57s:loss:0.6840:acc:0.7985:val_loss:2.0958:val_acc:0.4960</t>
  </si>
  <si>
    <t>57s:loss:0.6080:acc:0.8191:val_loss:1.8767:val_acc:0.5415</t>
  </si>
  <si>
    <t>58s:loss:0.5438:acc:0.8400:val_loss:1.9176:val_acc:0.5170</t>
  </si>
  <si>
    <t>58s:loss:0.4864:acc:0.8569:val_loss:1.9327:val_acc:0.5225</t>
  </si>
  <si>
    <t>58s:loss:0.4459:acc:0.8710:val_loss:1.9512:val_acc:0.5400</t>
  </si>
  <si>
    <t>62s:loss:0.2996:acc:0.9146:val_loss:1.9541:val_acc:0.5510</t>
  </si>
  <si>
    <t>61s:loss:0.2560:acc:0.9254:val_loss:2.0537:val_acc:0.5420</t>
  </si>
  <si>
    <t>60s:loss:0.2001:acc:0.9430:val_loss:2.1404:val_acc:0.5410</t>
  </si>
  <si>
    <t>60s:loss:0.1986:acc:0.9413:val_loss:2.1442:val_acc:0.5290</t>
  </si>
  <si>
    <t>61s:loss:0.1846:acc:0.9494:val_loss:2.1980:val_acc:0.5300</t>
  </si>
  <si>
    <t>61s:loss:0.1577:acc:0.9560:val_loss:2.2535:val_acc:0.5360</t>
  </si>
  <si>
    <t>56s:loss:1.0094:acc:0.6991:val_loss:1.6056:val_acc:0.5515</t>
  </si>
  <si>
    <t>56s:loss:0.9272:acc:0.7269:val_loss:1.6867:val_acc:0.5455</t>
  </si>
  <si>
    <t>56s:loss:0.8466:acc:0.7516:val_loss:1.6528:val_acc:0.5560</t>
  </si>
  <si>
    <t>57s:loss:0.7776:acc:0.7666:val_loss:1.6868:val_acc:0.5535</t>
  </si>
  <si>
    <t>56s:loss:0.7200:acc:0.7910:val_loss:1.7188:val_acc:0.5475</t>
  </si>
  <si>
    <t>56s:loss:0.6762:acc:0.8033:val_loss:1.7420:val_acc:0.5530</t>
  </si>
  <si>
    <t>117s:loss:0.2391:acc:0.9309:val_loss:2.0981:val_acc:0.5185</t>
  </si>
  <si>
    <t>116s:loss:0.1884:acc:0.9433:val_loss:2.2236:val_acc:0.5220</t>
  </si>
  <si>
    <t>117s:loss:0.1816:acc:0.9457:val_loss:2.1534:val_acc:0.5235</t>
  </si>
  <si>
    <t>116s:loss:0.1731:acc:0.9496:val_loss:2.1913:val_acc:0.5315</t>
  </si>
  <si>
    <t>118s:loss:0.1347:acc:0.9596:val_loss:2.2364:val_acc:0.5285</t>
  </si>
  <si>
    <t>117s:loss:0.1355:acc:0.9613:val_loss:2.3530:val_acc:0.5115</t>
  </si>
  <si>
    <t>118s:loss:0.7485:acc:0.7748:val_loss:1.8027:val_acc:0.5430</t>
  </si>
  <si>
    <t>119s:loss:0.6753:acc:0.7991:val_loss:1.8344:val_acc:0.5330</t>
  </si>
  <si>
    <t>120s:loss:0.6105:acc:0.8173:val_loss:1.8482:val_acc:0.5195</t>
  </si>
  <si>
    <t>117s:loss:0.5310:acc:0.8385:val_loss:1.8963:val_acc:0.5155</t>
  </si>
  <si>
    <t>120s:loss:0.4882:acc:0.8496:val_loss:1.9028:val_acc:0.5300</t>
  </si>
  <si>
    <t>117s:loss:0.4387:acc:0.8717:val_loss:1.8756:val_acc:0.5475</t>
  </si>
  <si>
    <t>116s:loss:0.2686:acc:0.9193:val_loss:2.0640:val_acc:0.5320</t>
  </si>
  <si>
    <t>116s:loss:0.2309:acc:0.9327:val_loss:2.1203:val_acc:0.5270</t>
  </si>
  <si>
    <t>116s:loss:0.1930:acc:0.9434:val_loss:2.1554:val_acc:0.5195</t>
  </si>
  <si>
    <t>116s:loss:0.1738:acc:0.9478:val_loss:2.1893:val_acc:0.5240</t>
  </si>
  <si>
    <t>116s:loss:0.1578:acc:0.9527:val_loss:2.2206:val_acc:0.5185</t>
  </si>
  <si>
    <t>116s:loss:0.1448:acc:0.9556:val_loss:2.3123:val_acc:0.5250</t>
  </si>
  <si>
    <t>129s:loss:0.9204:acc:0.7264:val_loss:1.7137:val_acc:0.5515</t>
  </si>
  <si>
    <t>165s:loss:0.8286:acc:0.7526:val_loss:1.6798:val_acc:0.5485</t>
  </si>
  <si>
    <t>146s:loss:0.7519:acc:0.7839:val_loss:1.7270:val_acc:0.5460</t>
  </si>
  <si>
    <t>127s:loss:0.6881:acc:0.7960:val_loss:1.7422:val_acc:0.5495</t>
  </si>
  <si>
    <t>134s:loss:0.6191:acc:0.8174:val_loss:1.7210:val_acc:0.5605</t>
  </si>
  <si>
    <t>122s:loss:0.5780:acc:0.8291:val_loss:1.8251:val_acc:0.5480</t>
  </si>
  <si>
    <t>35s:loss:0.3845:acc:0.8918:val_loss:2.1171:val_acc:0.5150</t>
  </si>
  <si>
    <t>34s:loss:0.3350:acc:0.9025:val_loss:2.2667:val_acc:0.4995</t>
  </si>
  <si>
    <t>34s:loss:0.2914:acc:0.9149:val_loss:2.2855:val_acc:0.5090</t>
  </si>
  <si>
    <t>35s:loss:0.2512:acc:0.9284:val_loss:2.3551:val_acc:0.5095</t>
  </si>
  <si>
    <t>34s:loss:0.2332:acc:0.9330:val_loss:2.4269:val_acc:0.4920</t>
  </si>
  <si>
    <t>36s:loss:0.2219:acc:0.9386:val_loss:2.3974:val_acc:0.5030</t>
  </si>
  <si>
    <t>34s:loss:1.0279:acc:0.6940:val_loss:1.8153:val_acc:0.5125</t>
  </si>
  <si>
    <t>35s:loss:0.9655:acc:0.7090:val_loss:1.8015:val_acc:0.5215</t>
  </si>
  <si>
    <t>35s:loss:0.8765:acc:0.7392:val_loss:1.8580:val_acc:0.5235</t>
  </si>
  <si>
    <t>34s:loss:0.8252:acc:0.7562:val_loss:1.8506:val_acc:0.5325</t>
  </si>
  <si>
    <t>34s:loss:0.7600:acc:0.7729:val_loss:1.8595:val_acc:0.5315</t>
  </si>
  <si>
    <t>35s:loss:0.7073:acc:0.7884:val_loss:1.8136:val_acc:0.5440</t>
  </si>
  <si>
    <t>36s:loss:0.4358:acc:0.8808:val_loss:1.9365:val_acc:0.5250</t>
  </si>
  <si>
    <t>35s:loss:0.3645:acc:0.8990:val_loss:2.0187:val_acc:0.5200</t>
  </si>
  <si>
    <t>36s:loss:0.3168:acc:0.9143:val_loss:2.0871:val_acc:0.5220</t>
  </si>
  <si>
    <t>36s:loss:0.2903:acc:0.9221:val_loss:2.1441:val_acc:0.5245</t>
  </si>
  <si>
    <t>39s:loss:0.2569:acc:0.9303:val_loss:2.2242:val_acc:0.5110</t>
  </si>
  <si>
    <t>34s:loss:0.2221:acc:0.9391:val_loss:2.3071:val_acc:0.5095</t>
  </si>
  <si>
    <t>37s:loss:1.2626:acc:0.6279:val_loss:1.7240:val_acc:0.5405</t>
  </si>
  <si>
    <t>33s:loss:1.1728:acc:0.6505:val_loss:1.6947:val_acc:0.5485</t>
  </si>
  <si>
    <t>33s:loss:1.0881:acc:0.6805:val_loss:1.6950:val_acc:0.5535</t>
  </si>
  <si>
    <t>36s:loss:1.0071:acc:0.6995:val_loss:1.7031:val_acc:0.5610</t>
  </si>
  <si>
    <t>35s:loss:0.9505:acc:0.7184:val_loss:1.6905:val_acc:0.5590</t>
  </si>
  <si>
    <t>34s:loss:0.8821:acc:0.7444:val_loss:1.6727:val_acc:0.5630</t>
  </si>
  <si>
    <t>59s:loss:0.2891:acc:0.9152:val_loss:2.1934:val_acc:0.5080</t>
  </si>
  <si>
    <t>58s:loss:0.2498:acc:0.9265:val_loss:2.2125:val_acc:0.5240</t>
  </si>
  <si>
    <t>59s:loss:0.2319:acc:0.9321:val_loss:2.1265:val_acc:0.5310</t>
  </si>
  <si>
    <t>58s:loss:0.2067:acc:0.9377:val_loss:2.2018:val_acc:0.5275</t>
  </si>
  <si>
    <t>58s:loss:0.1915:acc:0.9469:val_loss:2.2338:val_acc:0.5185</t>
  </si>
  <si>
    <t>58s:loss:0.1723:acc:0.9484:val_loss:2.2810:val_acc:0.5320</t>
  </si>
  <si>
    <t>58s:loss:0.8633:acc:0.7428:val_loss:1.7229:val_acc:0.5530</t>
  </si>
  <si>
    <t>58s:loss:0.7949:acc:0.7644:val_loss:1.7451:val_acc:0.5475</t>
  </si>
  <si>
    <t>58s:loss:0.7319:acc:0.7789:val_loss:1.7057:val_acc:0.5615</t>
  </si>
  <si>
    <t>58s:loss:0.6482:acc:0.8124:val_loss:1.8303:val_acc:0.5225</t>
  </si>
  <si>
    <t>58s:loss:0.6055:acc:0.8165:val_loss:1.8373:val_acc:0.5465</t>
  </si>
  <si>
    <t>58s:loss:0.5512:acc:0.8325:val_loss:1.8800:val_acc:0.5370</t>
  </si>
  <si>
    <t>60s:loss:0.3572:acc:0.8978:val_loss:1.9637:val_acc:0.5325</t>
  </si>
  <si>
    <t>60s:loss:0.3086:acc:0.9110:val_loss:1.9540:val_acc:0.5445</t>
  </si>
  <si>
    <t>67s:loss:0.2548:acc:0.9259:val_loss:2.0556:val_acc:0.5435</t>
  </si>
  <si>
    <t>63s:loss:0.2298:acc:0.9334:val_loss:2.0818:val_acc:0.5455</t>
  </si>
  <si>
    <t>62s:loss:0.2050:acc:0.9389:val_loss:2.1237:val_acc:0.5415</t>
  </si>
  <si>
    <t>64s:loss:0.1892:acc:0.9451:val_loss:2.1957:val_acc:0.5255</t>
  </si>
  <si>
    <t>60s:loss:1.0612:acc:0.6875:val_loss:1.6368:val_acc:0.5550</t>
  </si>
  <si>
    <t>60s:loss:1.0067:acc:0.7000:val_loss:1.6621:val_acc:0.5600</t>
  </si>
  <si>
    <t>63s:loss:0.9371:acc:0.7245:val_loss:1.6678:val_acc:0.5545</t>
  </si>
  <si>
    <t>61s:loss:0.8654:acc:0.7442:val_loss:1.6264:val_acc:0.5590</t>
  </si>
  <si>
    <t>64s:loss:0.8086:acc:0.7675:val_loss:1.6739:val_acc:0.5520</t>
  </si>
  <si>
    <t>62s:loss:0.7525:acc:0.7810:val_loss:1.7115:val_acc:0.5510</t>
  </si>
  <si>
    <t>113s:loss:0.2941:acc:0.9139:val_loss:2.0280:val_acc:0.5385</t>
  </si>
  <si>
    <t>112s:loss:0.2453:acc:0.9231:val_loss:2.0133:val_acc:0.5385</t>
  </si>
  <si>
    <t>115s:loss:0.2341:acc:0.9300:val_loss:2.0693:val_acc:0.5245</t>
  </si>
  <si>
    <t>115s:loss:0.2006:acc:0.9437:val_loss:2.0841:val_acc:0.5245</t>
  </si>
  <si>
    <t>114s:loss:0.1849:acc:0.9449:val_loss:2.1652:val_acc:0.5265</t>
  </si>
  <si>
    <t>115s:loss:0.1631:acc:0.9509:val_loss:2.2416:val_acc:0.5260</t>
  </si>
  <si>
    <t>115s:loss:0.8451:acc:0.7476:val_loss:1.7365:val_acc:0.5395</t>
  </si>
  <si>
    <t>115s:loss:0.7669:acc:0.7688:val_loss:1.6671:val_acc:0.5660</t>
  </si>
  <si>
    <t>115s:loss:0.7131:acc:0.7871:val_loss:1.7745:val_acc:0.5570</t>
  </si>
  <si>
    <t>114s:loss:0.6449:acc:0.8108:val_loss:1.7118:val_acc:0.5585</t>
  </si>
  <si>
    <t>114s:loss:0.5765:acc:0.8229:val_loss:1.7891:val_acc:0.5520</t>
  </si>
  <si>
    <t>113s:loss:0.5360:acc:0.8359:val_loss:1.8609:val_acc:0.5555</t>
  </si>
  <si>
    <t>120s:loss:0.3405:acc:0.9034:val_loss:1.9975:val_acc:0.5355</t>
  </si>
  <si>
    <t>120s:loss:0.2808:acc:0.9165:val_loss:1.9463:val_acc:0.5470</t>
  </si>
  <si>
    <t>116s:loss:0.2535:acc:0.9221:val_loss:2.1321:val_acc:0.5320</t>
  </si>
  <si>
    <t>119s:loss:0.2350:acc:0.9325:val_loss:2.0961:val_acc:0.5460</t>
  </si>
  <si>
    <t>123s:loss:0.2166:acc:0.9381:val_loss:2.1356:val_acc:0.5360</t>
  </si>
  <si>
    <t>120s:loss:0.1706:acc:0.9491:val_loss:2.2113:val_acc:0.5465</t>
  </si>
  <si>
    <t>119s:loss:1.0433:acc:0.6856:val_loss:1.6733:val_acc:0.5515</t>
  </si>
  <si>
    <t>119s:loss:0.9683:acc:0.7074:val_loss:1.7096:val_acc:0.5450</t>
  </si>
  <si>
    <t>119s:loss:0.9116:acc:0.7305:val_loss:1.7553:val_acc:0.5405</t>
  </si>
  <si>
    <t>119s:loss:0.8185:acc:0.7603:val_loss:1.7057:val_acc:0.5435</t>
  </si>
  <si>
    <t>119s:loss:0.7621:acc:0.7707:val_loss:1.6390:val_acc:0.5570</t>
  </si>
  <si>
    <t>120s:loss:0.7130:acc:0.7911:val_loss:1.7148:val_acc:0.5455</t>
  </si>
  <si>
    <t>37s:loss:0.4661:acc:0.8652:val_loss:2.1118:val_acc:0.5270</t>
  </si>
  <si>
    <t>37s:loss:0.4223:acc:0.8780:val_loss:2.0956:val_acc:0.5195</t>
  </si>
  <si>
    <t>37s:loss:0.3803:acc:0.8861:val_loss:2.1419:val_acc:0.5055</t>
  </si>
  <si>
    <t>37s:loss:0.3409:acc:0.9016:val_loss:2.2451:val_acc:0.5010</t>
  </si>
  <si>
    <t>37s:loss:0.3227:acc:0.9050:val_loss:2.2626:val_acc:0.5250</t>
  </si>
  <si>
    <t>37s:loss:0.2979:acc:0.9168:val_loss:2.2883:val_acc:0.5265</t>
  </si>
  <si>
    <t>36s:loss:1.1945:acc:0.6434:val_loss:1.7955:val_acc:0.5125</t>
  </si>
  <si>
    <t>36s:loss:1.0892:acc:0.6735:val_loss:1.7249:val_acc:0.5395</t>
  </si>
  <si>
    <t>36s:loss:1.0039:acc:0.6985:val_loss:1.7250:val_acc:0.5465</t>
  </si>
  <si>
    <t>36s:loss:0.9505:acc:0.7192:val_loss:1.7415:val_acc:0.5480</t>
  </si>
  <si>
    <t>36s:loss:0.8986:acc:0.7346:val_loss:1.7367:val_acc:0.5455</t>
  </si>
  <si>
    <t>36s:loss:0.8428:acc:0.7521:val_loss:1.7808:val_acc:0.5465</t>
  </si>
  <si>
    <t>38s:loss:0.6424:acc:0.8126:val_loss:1.8624:val_acc:0.5290</t>
  </si>
  <si>
    <t>38s:loss:0.5487:acc:0.8445:val_loss:1.9007:val_acc:0.5345</t>
  </si>
  <si>
    <t>38s:loss:0.5084:acc:0.8538:val_loss:1.9080:val_acc:0.5435</t>
  </si>
  <si>
    <t>38s:loss:0.4252:acc:0.8789:val_loss:1.9423:val_acc:0.5565</t>
  </si>
  <si>
    <t>38s:loss:0.3952:acc:0.8870:val_loss:1.9711:val_acc:0.5465</t>
  </si>
  <si>
    <t>38s:loss:0.3622:acc:0.8964:val_loss:2.0357:val_acc:0.5420</t>
  </si>
  <si>
    <t>39s:loss:1.3941:acc:0.5850:val_loss:1.7745:val_acc:0.5135</t>
  </si>
  <si>
    <t>40s:loss:1.2938:acc:0.6105:val_loss:1.7629:val_acc:0.5195</t>
  </si>
  <si>
    <t>40s:loss:1.2409:acc:0.6316:val_loss:1.7119:val_acc:0.5390</t>
  </si>
  <si>
    <t>39s:loss:1.1850:acc:0.6445:val_loss:1.6915:val_acc:0.5465</t>
  </si>
  <si>
    <t>39s:loss:1.1358:acc:0.6669:val_loss:1.6560:val_acc:0.5565</t>
  </si>
  <si>
    <t>39s:loss:1.0564:acc:0.6909:val_loss:1.6902:val_acc:0.5460</t>
  </si>
  <si>
    <t>59s:loss:0.4225:acc:0.8750:val_loss:2.0408:val_acc:0.5165</t>
  </si>
  <si>
    <t>59s:loss:0.3569:acc:0.8922:val_loss:2.0480:val_acc:0.5225</t>
  </si>
  <si>
    <t>59s:loss:0.3420:acc:0.8995:val_loss:2.0591:val_acc:0.5275</t>
  </si>
  <si>
    <t>59s:loss:0.3244:acc:0.9044:val_loss:2.1167:val_acc:0.5455</t>
  </si>
  <si>
    <t>59s:loss:0.2584:acc:0.9195:val_loss:2.2276:val_acc:0.5215</t>
  </si>
  <si>
    <t>59s:loss:0.2576:acc:0.9230:val_loss:2.1863:val_acc:0.5310</t>
  </si>
  <si>
    <t>58s:loss:1.0277:acc:0.6925:val_loss:1.7103:val_acc:0.5405</t>
  </si>
  <si>
    <t>58s:loss:0.9625:acc:0.7169:val_loss:1.6711:val_acc:0.5445</t>
  </si>
  <si>
    <t>58s:loss:0.8923:acc:0.7337:val_loss:1.6407:val_acc:0.5545</t>
  </si>
  <si>
    <t>58s:loss:0.8393:acc:0.7494:val_loss:1.7178:val_acc:0.5495</t>
  </si>
  <si>
    <t>61s:loss:0.7754:acc:0.7696:val_loss:1.7491:val_acc:0.5420</t>
  </si>
  <si>
    <t>58s:loss:0.7323:acc:0.7809:val_loss:1.6818:val_acc:0.5550</t>
  </si>
  <si>
    <t>61s:loss:0.5449:acc:0.8395:val_loss:1.7760:val_acc:0.5590</t>
  </si>
  <si>
    <t>61s:loss:0.4680:acc:0.8629:val_loss:1.8262:val_acc:0.5375</t>
  </si>
  <si>
    <t>61s:loss:0.4140:acc:0.8755:val_loss:1.8562:val_acc:0.5465</t>
  </si>
  <si>
    <t>62s:loss:0.3764:acc:0.8872:val_loss:1.8843:val_acc:0.5535</t>
  </si>
  <si>
    <t>61s:loss:0.3379:acc:0.9029:val_loss:1.9470:val_acc:0.5515</t>
  </si>
  <si>
    <t>61s:loss:0.3086:acc:0.9119:val_loss:1.9360:val_acc:0.5420</t>
  </si>
  <si>
    <t>61s:loss:1.2749:acc:0.6121:val_loss:1.6860:val_acc:0.5425</t>
  </si>
  <si>
    <t>61s:loss:1.1859:acc:0.6461:val_loss:1.6675:val_acc:0.5450</t>
  </si>
  <si>
    <t>61s:loss:1.1060:acc:0.6728:val_loss:1.6292:val_acc:0.5525</t>
  </si>
  <si>
    <t>61s:loss:1.0430:acc:0.6875:val_loss:1.6320:val_acc:0.5585</t>
  </si>
  <si>
    <t>61s:loss:1.0021:acc:0.7069:val_loss:1.6754:val_acc:0.5490</t>
  </si>
  <si>
    <t>61s:loss:0.9507:acc:0.7163:val_loss:1.6247:val_acc:0.5525</t>
  </si>
  <si>
    <t>116s:loss:0.3935:acc:0.8834:val_loss:1.8731:val_acc:0.5470</t>
  </si>
  <si>
    <t>117s:loss:0.3481:acc:0.8974:val_loss:1.9121:val_acc:0.5350</t>
  </si>
  <si>
    <t>117s:loss:0.3077:acc:0.9071:val_loss:1.8931:val_acc:0.5495</t>
  </si>
  <si>
    <t>117s:loss:0.2615:acc:0.9211:val_loss:1.9630:val_acc:0.5455</t>
  </si>
  <si>
    <t>117s:loss:0.2461:acc:0.9289:val_loss:2.0402:val_acc:0.5470</t>
  </si>
  <si>
    <t>117s:loss:0.2224:acc:0.9326:val_loss:2.1109:val_acc:0.5225</t>
  </si>
  <si>
    <t>116s:loss:1.0351:acc:0.6879:val_loss:1.6573:val_acc:0.5500</t>
  </si>
  <si>
    <t>115s:loss:0.9728:acc:0.7041:val_loss:1.6774:val_acc:0.5560</t>
  </si>
  <si>
    <t>115s:loss:0.9060:acc:0.7238:val_loss:1.6475:val_acc:0.5565</t>
  </si>
  <si>
    <t>115s:loss:0.8302:acc:0.7492:val_loss:1.7040:val_acc:0.5515</t>
  </si>
  <si>
    <t>115s:loss:0.7842:acc:0.7672:val_loss:1.7341:val_acc:0.5445</t>
  </si>
  <si>
    <t>115s:loss:0.7126:acc:0.7816:val_loss:1.7443:val_acc:0.5560</t>
  </si>
  <si>
    <t>119s:loss:0.4570:acc:0.8641:val_loss:1.8371:val_acc:0.5420</t>
  </si>
  <si>
    <t>119s:loss:0.4028:acc:0.8808:val_loss:1.8489:val_acc:0.5465</t>
  </si>
  <si>
    <t>118s:loss:0.3447:acc:0.8959:val_loss:1.9369:val_acc:0.5420</t>
  </si>
  <si>
    <t>119s:loss:0.3132:acc:0.9090:val_loss:1.9819:val_acc:0.5510</t>
  </si>
  <si>
    <t>119s:loss:0.2913:acc:0.9154:val_loss:1.9677:val_acc:0.5530</t>
  </si>
  <si>
    <t>119s:loss:0.2509:acc:0.9277:val_loss:2.0655:val_acc:0.5255</t>
  </si>
  <si>
    <t>120s:loss:1.1919:acc:0.6422:val_loss:1.6545:val_acc:0.5500</t>
  </si>
  <si>
    <t>120s:loss:1.1079:acc:0.6696:val_loss:1.6716:val_acc:0.5490</t>
  </si>
  <si>
    <t>120s:loss:1.0327:acc:0.6871:val_loss:1.6281:val_acc:0.5590</t>
  </si>
  <si>
    <t>120s:loss:0.9816:acc:0.7015:val_loss:1.5973:val_acc:0.5735</t>
  </si>
  <si>
    <t>120s:loss:0.9249:acc:0.7236:val_loss:1.6735:val_acc:0.5520</t>
  </si>
  <si>
    <t>120s:loss:0.8616:acc:0.7404:val_loss:1.6245:val_acc:0.5670</t>
  </si>
  <si>
    <t>Epochs each</t>
  </si>
  <si>
    <t>LSTM combinations</t>
  </si>
  <si>
    <t>GRU combinations</t>
  </si>
  <si>
    <t>Total Rows</t>
  </si>
  <si>
    <t>('Cell type</t>
  </si>
  <si>
    <t>Drop Input</t>
  </si>
  <si>
    <t>'Multi-layer</t>
  </si>
  <si>
    <t>Drop Recurrent</t>
  </si>
  <si>
    <t>Especially true when you look at Std Dev rather than just MaxMin</t>
  </si>
  <si>
    <t>Compare to 0.4 and 0.6</t>
  </si>
  <si>
    <t>Combo 1</t>
  </si>
  <si>
    <t>Combo 2</t>
  </si>
  <si>
    <t>Combo 3</t>
  </si>
  <si>
    <t>Combo 4</t>
  </si>
  <si>
    <t>Combo 5</t>
  </si>
  <si>
    <t>Combo 6</t>
  </si>
  <si>
    <t>Combo 7</t>
  </si>
  <si>
    <t>Combo 8</t>
  </si>
  <si>
    <t>Combo 9</t>
  </si>
  <si>
    <t>Combo 10</t>
  </si>
  <si>
    <t>LSTM, 0.5, 64, FALSE, OFF, rmsprop</t>
  </si>
  <si>
    <t>Reason</t>
  </si>
  <si>
    <t>Highest 64 cell count</t>
  </si>
  <si>
    <t>LSTM, 0.5, 128, FALSE, OFF, rmsprop</t>
  </si>
  <si>
    <t>LSTM, 0.5, 128, FALSE, ON, rmsprop</t>
  </si>
  <si>
    <t>Highest 126 cell count</t>
  </si>
  <si>
    <t>Highest LSTM, also highest recurrent dropoff OFF</t>
  </si>
  <si>
    <t>GRU, 0.5, 256, FALSE, ON, rmsprop</t>
  </si>
  <si>
    <t>Best of all averages and Highest Overall ~!!!</t>
  </si>
  <si>
    <t>GRU, 0.1, 128, FALSE, ON, rmsprop</t>
  </si>
  <si>
    <t>2nd Lowest Loss</t>
  </si>
  <si>
    <t>GRU, 0.4, 256, FALSE, ON, rmsprop</t>
  </si>
  <si>
    <t>Test lower dropout</t>
  </si>
  <si>
    <t>Test higher dropout</t>
  </si>
  <si>
    <t>GRU, 0.6, 256, FALSE, ON, rmsprop</t>
  </si>
  <si>
    <t>Test higher cell count</t>
  </si>
  <si>
    <t>GRU, 0.5, 512, FALSE, ON, rmsprop</t>
  </si>
  <si>
    <t>GRU, 0.6, 512, FALSE, ON, rmsprop</t>
  </si>
  <si>
    <t>Test higher cell count w/ high dropout</t>
  </si>
  <si>
    <t>GRU, 0.5, 256, FALSE, ON, adadelta</t>
  </si>
  <si>
    <t>Test different optimizer (http://arxiv.org/abs/1409.0473)</t>
  </si>
  <si>
    <t>GRU, 0.5, 256, ON, adadelta</t>
  </si>
  <si>
    <t>GRU, 0.6, 512, ON, rmsprop</t>
  </si>
  <si>
    <t>GRU, 0.5, 512, ON, rmsprop</t>
  </si>
  <si>
    <t>GRU, 0.6, 256, ON, rmsprop</t>
  </si>
  <si>
    <t>GRU, 0.1, 128, ON, rmsprop</t>
  </si>
  <si>
    <t>LSTM, 0.5, 128, ON, rmsprop</t>
  </si>
  <si>
    <t>LSTM, 0.5, 64, OFF, rmsprop</t>
  </si>
  <si>
    <t>GRU, 0.5, 256, ON, rmsprop</t>
  </si>
  <si>
    <t>GRU, 0.4, 256, ON, rmsprop</t>
  </si>
  <si>
    <t>Type</t>
  </si>
  <si>
    <t>train_loss</t>
  </si>
  <si>
    <t>Train_acc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</si>
  <si>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</si>
  <si>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</si>
  <si>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</si>
  <si>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</si>
  <si>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</si>
  <si>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</si>
  <si>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</si>
  <si>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</si>
  <si>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</si>
  <si>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Column Labels</t>
  </si>
  <si>
    <t>Sum of Acc</t>
  </si>
  <si>
    <t>E01</t>
  </si>
  <si>
    <t>E02</t>
  </si>
  <si>
    <t>E03</t>
  </si>
  <si>
    <t>E04</t>
  </si>
  <si>
    <t>E05</t>
  </si>
  <si>
    <t>E06</t>
  </si>
  <si>
    <t>E07</t>
  </si>
  <si>
    <t>E08</t>
  </si>
  <si>
    <t>E09</t>
  </si>
  <si>
    <t>ACCURACY</t>
  </si>
  <si>
    <t>GRU/0.1/128/ON/rmsprop</t>
  </si>
  <si>
    <t>GRU/0.4/256/ON/rmsprop</t>
  </si>
  <si>
    <t>GRU/0.5/256/ON/adadelta</t>
  </si>
  <si>
    <t>GRU/0.5/256/ON/rmsprop</t>
  </si>
  <si>
    <t>GRU/0.5/512/ON/rmsprop</t>
  </si>
  <si>
    <t>GRU/0.6/256/ON/rmsprop</t>
  </si>
  <si>
    <t>GRU/0.6/512/ON/rmsprop</t>
  </si>
  <si>
    <t>LSTM/0.5/128/ON/rmsprop</t>
  </si>
  <si>
    <t>LSTM/0.5/64/OFF/rmsprop</t>
  </si>
  <si>
    <t>LSTM, 0.5, 128, OFF, rmsprop</t>
  </si>
  <si>
    <t>LSTM/0.5/128/OFF/rmsprop</t>
  </si>
  <si>
    <t>LOSS</t>
  </si>
  <si>
    <t xml:space="preserve">Even the best LSTMs cannot compete after a high level, </t>
  </si>
  <si>
    <t>Comes out on top in loss, but slightly starts to lose in acc towards the end. the 128 and 64 cell counts is a fluke</t>
  </si>
  <si>
    <t>Reversing doesn't work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</si>
</sst>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1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2F2F2F"/>
      <name val="Calibri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9"/>
      <color indexed="81"/>
      <name val="Calibri"/>
      <family val="2"/>
    </font>
    <font>
      <sz val="12"/>
      <name val="Calibri"/>
      <scheme val="minor"/>
    </font>
    <font>
      <u/>
      <sz val="12"/>
      <color theme="1"/>
      <name val="Calibri"/>
      <scheme val="minor"/>
    </font>
    <font>
      <i/>
      <sz val="12"/>
      <color rgb="FF000000"/>
      <name val="Calibri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-0.499984740745262"/>
        <bgColor theme="6" tint="0.39997558519241921"/>
      </patternFill>
    </fill>
    <fill>
      <patternFill patternType="solid">
        <fgColor theme="6"/>
        <bgColor indexed="64"/>
      </patternFill>
    </fill>
    <fill>
      <patternFill patternType="solid">
        <fgColor theme="5" tint="0.39997558519241921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theme="6" tint="0.79998168889431442"/>
      </top>
      <bottom style="thin">
        <color theme="6" tint="0.79998168889431442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theme="6" tint="0.79998168889431442"/>
      </top>
      <bottom style="thin">
        <color theme="6" tint="0.79998168889431442"/>
      </bottom>
      <diagonal/>
    </border>
    <border>
      <left/>
      <right style="thin">
        <color auto="1"/>
      </right>
      <top style="thin">
        <color theme="6" tint="0.79998168889431442"/>
      </top>
      <bottom style="thin">
        <color theme="6" tint="0.79998168889431442"/>
      </bottom>
      <diagonal/>
    </border>
    <border>
      <left style="thin">
        <color auto="1"/>
      </left>
      <right/>
      <top style="thin">
        <color theme="6" tint="0.79998168889431442"/>
      </top>
      <bottom style="thin">
        <color auto="1"/>
      </bottom>
      <diagonal/>
    </border>
    <border>
      <left/>
      <right/>
      <top style="thin">
        <color theme="6" tint="0.79998168889431442"/>
      </top>
      <bottom style="thin">
        <color auto="1"/>
      </bottom>
      <diagonal/>
    </border>
    <border>
      <left/>
      <right style="thin">
        <color auto="1"/>
      </right>
      <top style="thin">
        <color theme="6" tint="0.79998168889431442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06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36">
    <xf numFmtId="0" fontId="0" fillId="0" borderId="0" xfId="0"/>
    <xf numFmtId="1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3" fillId="2" borderId="1" xfId="0" applyFont="1" applyFill="1" applyBorder="1" applyAlignment="1">
      <alignment horizontal="left"/>
    </xf>
    <xf numFmtId="0" fontId="4" fillId="0" borderId="0" xfId="0" applyFont="1" applyAlignment="1">
      <alignment wrapText="1"/>
    </xf>
    <xf numFmtId="0" fontId="0" fillId="0" borderId="0" xfId="0" applyAlignment="1">
      <alignment wrapText="1"/>
    </xf>
    <xf numFmtId="2" fontId="0" fillId="0" borderId="1" xfId="0" applyNumberFormat="1" applyFont="1" applyBorder="1" applyAlignment="1">
      <alignment wrapText="1"/>
    </xf>
    <xf numFmtId="0" fontId="6" fillId="0" borderId="0" xfId="0" applyFont="1"/>
    <xf numFmtId="0" fontId="5" fillId="0" borderId="0" xfId="0" applyFont="1"/>
    <xf numFmtId="1" fontId="5" fillId="0" borderId="0" xfId="0" applyNumberFormat="1" applyFont="1"/>
    <xf numFmtId="0" fontId="5" fillId="0" borderId="0" xfId="0" applyFont="1" applyAlignment="1">
      <alignment wrapText="1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164" fontId="5" fillId="0" borderId="0" xfId="0" applyNumberFormat="1" applyFont="1"/>
    <xf numFmtId="164" fontId="0" fillId="0" borderId="0" xfId="0" applyNumberFormat="1"/>
    <xf numFmtId="0" fontId="0" fillId="0" borderId="2" xfId="0" applyBorder="1"/>
    <xf numFmtId="0" fontId="4" fillId="0" borderId="3" xfId="0" applyFont="1" applyBorder="1" applyAlignment="1">
      <alignment wrapText="1"/>
    </xf>
    <xf numFmtId="0" fontId="4" fillId="0" borderId="4" xfId="0" applyFont="1" applyBorder="1" applyAlignment="1">
      <alignment wrapText="1"/>
    </xf>
    <xf numFmtId="0" fontId="4" fillId="0" borderId="5" xfId="0" applyFont="1" applyBorder="1" applyAlignment="1">
      <alignment wrapText="1"/>
    </xf>
    <xf numFmtId="2" fontId="0" fillId="0" borderId="6" xfId="0" applyNumberFormat="1" applyFont="1" applyBorder="1" applyAlignment="1">
      <alignment wrapText="1"/>
    </xf>
    <xf numFmtId="2" fontId="0" fillId="0" borderId="7" xfId="0" applyNumberFormat="1" applyFont="1" applyBorder="1" applyAlignment="1">
      <alignment wrapText="1"/>
    </xf>
    <xf numFmtId="2" fontId="0" fillId="0" borderId="8" xfId="0" applyNumberFormat="1" applyFont="1" applyBorder="1" applyAlignment="1">
      <alignment wrapText="1"/>
    </xf>
    <xf numFmtId="2" fontId="0" fillId="0" borderId="9" xfId="0" applyNumberFormat="1" applyFont="1" applyBorder="1" applyAlignment="1">
      <alignment wrapText="1"/>
    </xf>
    <xf numFmtId="2" fontId="0" fillId="0" borderId="10" xfId="0" applyNumberFormat="1" applyFont="1" applyBorder="1" applyAlignment="1">
      <alignment wrapText="1"/>
    </xf>
    <xf numFmtId="2" fontId="0" fillId="0" borderId="11" xfId="0" applyNumberFormat="1" applyFont="1" applyBorder="1" applyAlignment="1">
      <alignment wrapText="1"/>
    </xf>
    <xf numFmtId="2" fontId="0" fillId="0" borderId="12" xfId="0" applyNumberFormat="1" applyFont="1" applyBorder="1" applyAlignment="1">
      <alignment wrapText="1"/>
    </xf>
    <xf numFmtId="2" fontId="0" fillId="0" borderId="13" xfId="0" applyNumberFormat="1" applyFont="1" applyBorder="1" applyAlignment="1">
      <alignment wrapText="1"/>
    </xf>
    <xf numFmtId="9" fontId="0" fillId="3" borderId="0" xfId="0" applyNumberFormat="1" applyFill="1" applyAlignment="1">
      <alignment horizontal="center"/>
    </xf>
    <xf numFmtId="9" fontId="8" fillId="3" borderId="0" xfId="0" applyNumberFormat="1" applyFont="1" applyFill="1" applyAlignment="1">
      <alignment horizontal="center"/>
    </xf>
    <xf numFmtId="9" fontId="0" fillId="4" borderId="0" xfId="0" applyNumberFormat="1" applyFill="1" applyAlignment="1">
      <alignment horizontal="center"/>
    </xf>
    <xf numFmtId="1" fontId="9" fillId="0" borderId="0" xfId="0" applyNumberFormat="1" applyFont="1"/>
    <xf numFmtId="0" fontId="10" fillId="0" borderId="0" xfId="0" applyFont="1"/>
  </cellXfs>
  <cellStyles count="206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54" builtinId="9" hidden="1"/>
    <cellStyle name="Followed Hyperlink" xfId="1556" builtinId="9" hidden="1"/>
    <cellStyle name="Followed Hyperlink" xfId="1558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Followed Hyperlink" xfId="1704" builtinId="9" hidden="1"/>
    <cellStyle name="Followed Hyperlink" xfId="1706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20" builtinId="9" hidden="1"/>
    <cellStyle name="Followed Hyperlink" xfId="1722" builtinId="9" hidden="1"/>
    <cellStyle name="Followed Hyperlink" xfId="1724" builtinId="9" hidden="1"/>
    <cellStyle name="Followed Hyperlink" xfId="1726" builtinId="9" hidden="1"/>
    <cellStyle name="Followed Hyperlink" xfId="1728" builtinId="9" hidden="1"/>
    <cellStyle name="Followed Hyperlink" xfId="1730" builtinId="9" hidden="1"/>
    <cellStyle name="Followed Hyperlink" xfId="1732" builtinId="9" hidden="1"/>
    <cellStyle name="Followed Hyperlink" xfId="1734" builtinId="9" hidden="1"/>
    <cellStyle name="Followed Hyperlink" xfId="1736" builtinId="9" hidden="1"/>
    <cellStyle name="Followed Hyperlink" xfId="1738" builtinId="9" hidden="1"/>
    <cellStyle name="Followed Hyperlink" xfId="1740" builtinId="9" hidden="1"/>
    <cellStyle name="Followed Hyperlink" xfId="1742" builtinId="9" hidden="1"/>
    <cellStyle name="Followed Hyperlink" xfId="1744" builtinId="9" hidden="1"/>
    <cellStyle name="Followed Hyperlink" xfId="1746" builtinId="9" hidden="1"/>
    <cellStyle name="Followed Hyperlink" xfId="1748" builtinId="9" hidden="1"/>
    <cellStyle name="Followed Hyperlink" xfId="1750" builtinId="9" hidden="1"/>
    <cellStyle name="Followed Hyperlink" xfId="1752" builtinId="9" hidden="1"/>
    <cellStyle name="Followed Hyperlink" xfId="1754" builtinId="9" hidden="1"/>
    <cellStyle name="Followed Hyperlink" xfId="1756" builtinId="9" hidden="1"/>
    <cellStyle name="Followed Hyperlink" xfId="1758" builtinId="9" hidden="1"/>
    <cellStyle name="Followed Hyperlink" xfId="1760" builtinId="9" hidden="1"/>
    <cellStyle name="Followed Hyperlink" xfId="1762" builtinId="9" hidden="1"/>
    <cellStyle name="Followed Hyperlink" xfId="1764" builtinId="9" hidden="1"/>
    <cellStyle name="Followed Hyperlink" xfId="1766" builtinId="9" hidden="1"/>
    <cellStyle name="Followed Hyperlink" xfId="1768" builtinId="9" hidden="1"/>
    <cellStyle name="Followed Hyperlink" xfId="1770" builtinId="9" hidden="1"/>
    <cellStyle name="Followed Hyperlink" xfId="1772" builtinId="9" hidden="1"/>
    <cellStyle name="Followed Hyperlink" xfId="1774" builtinId="9" hidden="1"/>
    <cellStyle name="Followed Hyperlink" xfId="1776" builtinId="9" hidden="1"/>
    <cellStyle name="Followed Hyperlink" xfId="1778" builtinId="9" hidden="1"/>
    <cellStyle name="Followed Hyperlink" xfId="1780" builtinId="9" hidden="1"/>
    <cellStyle name="Followed Hyperlink" xfId="1782" builtinId="9" hidden="1"/>
    <cellStyle name="Followed Hyperlink" xfId="1784" builtinId="9" hidden="1"/>
    <cellStyle name="Followed Hyperlink" xfId="1786" builtinId="9" hidden="1"/>
    <cellStyle name="Followed Hyperlink" xfId="1788" builtinId="9" hidden="1"/>
    <cellStyle name="Followed Hyperlink" xfId="1790" builtinId="9" hidden="1"/>
    <cellStyle name="Followed Hyperlink" xfId="1792" builtinId="9" hidden="1"/>
    <cellStyle name="Followed Hyperlink" xfId="1794" builtinId="9" hidden="1"/>
    <cellStyle name="Followed Hyperlink" xfId="1796" builtinId="9" hidden="1"/>
    <cellStyle name="Followed Hyperlink" xfId="1798" builtinId="9" hidden="1"/>
    <cellStyle name="Followed Hyperlink" xfId="1800" builtinId="9" hidden="1"/>
    <cellStyle name="Followed Hyperlink" xfId="1802" builtinId="9" hidden="1"/>
    <cellStyle name="Followed Hyperlink" xfId="1804" builtinId="9" hidden="1"/>
    <cellStyle name="Followed Hyperlink" xfId="1806" builtinId="9" hidden="1"/>
    <cellStyle name="Followed Hyperlink" xfId="1808" builtinId="9" hidden="1"/>
    <cellStyle name="Followed Hyperlink" xfId="1810" builtinId="9" hidden="1"/>
    <cellStyle name="Followed Hyperlink" xfId="1812" builtinId="9" hidden="1"/>
    <cellStyle name="Followed Hyperlink" xfId="1814" builtinId="9" hidden="1"/>
    <cellStyle name="Followed Hyperlink" xfId="1816" builtinId="9" hidden="1"/>
    <cellStyle name="Followed Hyperlink" xfId="1818" builtinId="9" hidden="1"/>
    <cellStyle name="Followed Hyperlink" xfId="1820" builtinId="9" hidden="1"/>
    <cellStyle name="Followed Hyperlink" xfId="1822" builtinId="9" hidden="1"/>
    <cellStyle name="Followed Hyperlink" xfId="1824" builtinId="9" hidden="1"/>
    <cellStyle name="Followed Hyperlink" xfId="1826" builtinId="9" hidden="1"/>
    <cellStyle name="Followed Hyperlink" xfId="1828" builtinId="9" hidden="1"/>
    <cellStyle name="Followed Hyperlink" xfId="1830" builtinId="9" hidden="1"/>
    <cellStyle name="Followed Hyperlink" xfId="1832" builtinId="9" hidden="1"/>
    <cellStyle name="Followed Hyperlink" xfId="1834" builtinId="9" hidden="1"/>
    <cellStyle name="Followed Hyperlink" xfId="1836" builtinId="9" hidden="1"/>
    <cellStyle name="Followed Hyperlink" xfId="1838" builtinId="9" hidden="1"/>
    <cellStyle name="Followed Hyperlink" xfId="1840" builtinId="9" hidden="1"/>
    <cellStyle name="Followed Hyperlink" xfId="1842" builtinId="9" hidden="1"/>
    <cellStyle name="Followed Hyperlink" xfId="1844" builtinId="9" hidden="1"/>
    <cellStyle name="Followed Hyperlink" xfId="1846" builtinId="9" hidden="1"/>
    <cellStyle name="Followed Hyperlink" xfId="1848" builtinId="9" hidden="1"/>
    <cellStyle name="Followed Hyperlink" xfId="1850" builtinId="9" hidden="1"/>
    <cellStyle name="Followed Hyperlink" xfId="1852" builtinId="9" hidden="1"/>
    <cellStyle name="Followed Hyperlink" xfId="1854" builtinId="9" hidden="1"/>
    <cellStyle name="Followed Hyperlink" xfId="1856" builtinId="9" hidden="1"/>
    <cellStyle name="Followed Hyperlink" xfId="1858" builtinId="9" hidden="1"/>
    <cellStyle name="Followed Hyperlink" xfId="1860" builtinId="9" hidden="1"/>
    <cellStyle name="Followed Hyperlink" xfId="1862" builtinId="9" hidden="1"/>
    <cellStyle name="Followed Hyperlink" xfId="1864" builtinId="9" hidden="1"/>
    <cellStyle name="Followed Hyperlink" xfId="1866" builtinId="9" hidden="1"/>
    <cellStyle name="Followed Hyperlink" xfId="1868" builtinId="9" hidden="1"/>
    <cellStyle name="Followed Hyperlink" xfId="1870" builtinId="9" hidden="1"/>
    <cellStyle name="Followed Hyperlink" xfId="1872" builtinId="9" hidden="1"/>
    <cellStyle name="Followed Hyperlink" xfId="1874" builtinId="9" hidden="1"/>
    <cellStyle name="Followed Hyperlink" xfId="1876" builtinId="9" hidden="1"/>
    <cellStyle name="Followed Hyperlink" xfId="1878" builtinId="9" hidden="1"/>
    <cellStyle name="Followed Hyperlink" xfId="1880" builtinId="9" hidden="1"/>
    <cellStyle name="Followed Hyperlink" xfId="1882" builtinId="9" hidden="1"/>
    <cellStyle name="Followed Hyperlink" xfId="1884" builtinId="9" hidden="1"/>
    <cellStyle name="Followed Hyperlink" xfId="1886" builtinId="9" hidden="1"/>
    <cellStyle name="Followed Hyperlink" xfId="1888" builtinId="9" hidden="1"/>
    <cellStyle name="Followed Hyperlink" xfId="1890" builtinId="9" hidden="1"/>
    <cellStyle name="Followed Hyperlink" xfId="1892" builtinId="9" hidden="1"/>
    <cellStyle name="Followed Hyperlink" xfId="1894" builtinId="9" hidden="1"/>
    <cellStyle name="Followed Hyperlink" xfId="1896" builtinId="9" hidden="1"/>
    <cellStyle name="Followed Hyperlink" xfId="1898" builtinId="9" hidden="1"/>
    <cellStyle name="Followed Hyperlink" xfId="1900" builtinId="9" hidden="1"/>
    <cellStyle name="Followed Hyperlink" xfId="1902" builtinId="9" hidden="1"/>
    <cellStyle name="Followed Hyperlink" xfId="1904" builtinId="9" hidden="1"/>
    <cellStyle name="Followed Hyperlink" xfId="1906" builtinId="9" hidden="1"/>
    <cellStyle name="Followed Hyperlink" xfId="1908" builtinId="9" hidden="1"/>
    <cellStyle name="Followed Hyperlink" xfId="1910" builtinId="9" hidden="1"/>
    <cellStyle name="Followed Hyperlink" xfId="1912" builtinId="9" hidden="1"/>
    <cellStyle name="Followed Hyperlink" xfId="1914" builtinId="9" hidden="1"/>
    <cellStyle name="Followed Hyperlink" xfId="1916" builtinId="9" hidden="1"/>
    <cellStyle name="Followed Hyperlink" xfId="1918" builtinId="9" hidden="1"/>
    <cellStyle name="Followed Hyperlink" xfId="1920" builtinId="9" hidden="1"/>
    <cellStyle name="Followed Hyperlink" xfId="1922" builtinId="9" hidden="1"/>
    <cellStyle name="Followed Hyperlink" xfId="1924" builtinId="9" hidden="1"/>
    <cellStyle name="Followed Hyperlink" xfId="1926" builtinId="9" hidden="1"/>
    <cellStyle name="Followed Hyperlink" xfId="1928" builtinId="9" hidden="1"/>
    <cellStyle name="Followed Hyperlink" xfId="1930" builtinId="9" hidden="1"/>
    <cellStyle name="Followed Hyperlink" xfId="1932" builtinId="9" hidden="1"/>
    <cellStyle name="Followed Hyperlink" xfId="1934" builtinId="9" hidden="1"/>
    <cellStyle name="Followed Hyperlink" xfId="1936" builtinId="9" hidden="1"/>
    <cellStyle name="Followed Hyperlink" xfId="1938" builtinId="9" hidden="1"/>
    <cellStyle name="Followed Hyperlink" xfId="1940" builtinId="9" hidden="1"/>
    <cellStyle name="Followed Hyperlink" xfId="1942" builtinId="9" hidden="1"/>
    <cellStyle name="Followed Hyperlink" xfId="1944" builtinId="9" hidden="1"/>
    <cellStyle name="Followed Hyperlink" xfId="1946" builtinId="9" hidden="1"/>
    <cellStyle name="Followed Hyperlink" xfId="1948" builtinId="9" hidden="1"/>
    <cellStyle name="Followed Hyperlink" xfId="1950" builtinId="9" hidden="1"/>
    <cellStyle name="Followed Hyperlink" xfId="1952" builtinId="9" hidden="1"/>
    <cellStyle name="Followed Hyperlink" xfId="1954" builtinId="9" hidden="1"/>
    <cellStyle name="Followed Hyperlink" xfId="1956" builtinId="9" hidden="1"/>
    <cellStyle name="Followed Hyperlink" xfId="1958" builtinId="9" hidden="1"/>
    <cellStyle name="Followed Hyperlink" xfId="1960" builtinId="9" hidden="1"/>
    <cellStyle name="Followed Hyperlink" xfId="1962" builtinId="9" hidden="1"/>
    <cellStyle name="Followed Hyperlink" xfId="1964" builtinId="9" hidden="1"/>
    <cellStyle name="Followed Hyperlink" xfId="1966" builtinId="9" hidden="1"/>
    <cellStyle name="Followed Hyperlink" xfId="1968" builtinId="9" hidden="1"/>
    <cellStyle name="Followed Hyperlink" xfId="1970" builtinId="9" hidden="1"/>
    <cellStyle name="Followed Hyperlink" xfId="1972" builtinId="9" hidden="1"/>
    <cellStyle name="Followed Hyperlink" xfId="1974" builtinId="9" hidden="1"/>
    <cellStyle name="Followed Hyperlink" xfId="1976" builtinId="9" hidden="1"/>
    <cellStyle name="Followed Hyperlink" xfId="1978" builtinId="9" hidden="1"/>
    <cellStyle name="Followed Hyperlink" xfId="1980" builtinId="9" hidden="1"/>
    <cellStyle name="Followed Hyperlink" xfId="1982" builtinId="9" hidden="1"/>
    <cellStyle name="Followed Hyperlink" xfId="1984" builtinId="9" hidden="1"/>
    <cellStyle name="Followed Hyperlink" xfId="1986" builtinId="9" hidden="1"/>
    <cellStyle name="Followed Hyperlink" xfId="1988" builtinId="9" hidden="1"/>
    <cellStyle name="Followed Hyperlink" xfId="1990" builtinId="9" hidden="1"/>
    <cellStyle name="Followed Hyperlink" xfId="1992" builtinId="9" hidden="1"/>
    <cellStyle name="Followed Hyperlink" xfId="1994" builtinId="9" hidden="1"/>
    <cellStyle name="Followed Hyperlink" xfId="1996" builtinId="9" hidden="1"/>
    <cellStyle name="Followed Hyperlink" xfId="1998" builtinId="9" hidden="1"/>
    <cellStyle name="Followed Hyperlink" xfId="2000" builtinId="9" hidden="1"/>
    <cellStyle name="Followed Hyperlink" xfId="2002" builtinId="9" hidden="1"/>
    <cellStyle name="Followed Hyperlink" xfId="2004" builtinId="9" hidden="1"/>
    <cellStyle name="Followed Hyperlink" xfId="2006" builtinId="9" hidden="1"/>
    <cellStyle name="Followed Hyperlink" xfId="2008" builtinId="9" hidden="1"/>
    <cellStyle name="Followed Hyperlink" xfId="2010" builtinId="9" hidden="1"/>
    <cellStyle name="Followed Hyperlink" xfId="2012" builtinId="9" hidden="1"/>
    <cellStyle name="Followed Hyperlink" xfId="2014" builtinId="9" hidden="1"/>
    <cellStyle name="Followed Hyperlink" xfId="2016" builtinId="9" hidden="1"/>
    <cellStyle name="Followed Hyperlink" xfId="2018" builtinId="9" hidden="1"/>
    <cellStyle name="Followed Hyperlink" xfId="2020" builtinId="9" hidden="1"/>
    <cellStyle name="Followed Hyperlink" xfId="2022" builtinId="9" hidden="1"/>
    <cellStyle name="Followed Hyperlink" xfId="2024" builtinId="9" hidden="1"/>
    <cellStyle name="Followed Hyperlink" xfId="2026" builtinId="9" hidden="1"/>
    <cellStyle name="Followed Hyperlink" xfId="2028" builtinId="9" hidden="1"/>
    <cellStyle name="Followed Hyperlink" xfId="2030" builtinId="9" hidden="1"/>
    <cellStyle name="Followed Hyperlink" xfId="2032" builtinId="9" hidden="1"/>
    <cellStyle name="Followed Hyperlink" xfId="2034" builtinId="9" hidden="1"/>
    <cellStyle name="Followed Hyperlink" xfId="2036" builtinId="9" hidden="1"/>
    <cellStyle name="Followed Hyperlink" xfId="2038" builtinId="9" hidden="1"/>
    <cellStyle name="Followed Hyperlink" xfId="2040" builtinId="9" hidden="1"/>
    <cellStyle name="Followed Hyperlink" xfId="2042" builtinId="9" hidden="1"/>
    <cellStyle name="Followed Hyperlink" xfId="2044" builtinId="9" hidden="1"/>
    <cellStyle name="Followed Hyperlink" xfId="2046" builtinId="9" hidden="1"/>
    <cellStyle name="Followed Hyperlink" xfId="2048" builtinId="9" hidden="1"/>
    <cellStyle name="Followed Hyperlink" xfId="2050" builtinId="9" hidden="1"/>
    <cellStyle name="Followed Hyperlink" xfId="2052" builtinId="9" hidden="1"/>
    <cellStyle name="Followed Hyperlink" xfId="2054" builtinId="9" hidden="1"/>
    <cellStyle name="Followed Hyperlink" xfId="2056" builtinId="9" hidden="1"/>
    <cellStyle name="Followed Hyperlink" xfId="2058" builtinId="9" hidden="1"/>
    <cellStyle name="Followed Hyperlink" xfId="2060" builtinId="9" hidden="1"/>
    <cellStyle name="Followed Hyperlink" xfId="2062" builtinId="9" hidden="1"/>
    <cellStyle name="Followed Hyperlink" xfId="206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Hyperlink" xfId="1735" builtinId="8" hidden="1"/>
    <cellStyle name="Hyperlink" xfId="1737" builtinId="8" hidden="1"/>
    <cellStyle name="Hyperlink" xfId="1739" builtinId="8" hidden="1"/>
    <cellStyle name="Hyperlink" xfId="1741" builtinId="8" hidden="1"/>
    <cellStyle name="Hyperlink" xfId="1743" builtinId="8" hidden="1"/>
    <cellStyle name="Hyperlink" xfId="1745" builtinId="8" hidden="1"/>
    <cellStyle name="Hyperlink" xfId="1747" builtinId="8" hidden="1"/>
    <cellStyle name="Hyperlink" xfId="1749" builtinId="8" hidden="1"/>
    <cellStyle name="Hyperlink" xfId="1751" builtinId="8" hidden="1"/>
    <cellStyle name="Hyperlink" xfId="1753" builtinId="8" hidden="1"/>
    <cellStyle name="Hyperlink" xfId="1755" builtinId="8" hidden="1"/>
    <cellStyle name="Hyperlink" xfId="1757" builtinId="8" hidden="1"/>
    <cellStyle name="Hyperlink" xfId="1759" builtinId="8" hidden="1"/>
    <cellStyle name="Hyperlink" xfId="1761" builtinId="8" hidden="1"/>
    <cellStyle name="Hyperlink" xfId="1763" builtinId="8" hidden="1"/>
    <cellStyle name="Hyperlink" xfId="1765" builtinId="8" hidden="1"/>
    <cellStyle name="Hyperlink" xfId="1767" builtinId="8" hidden="1"/>
    <cellStyle name="Hyperlink" xfId="1769" builtinId="8" hidden="1"/>
    <cellStyle name="Hyperlink" xfId="1771" builtinId="8" hidden="1"/>
    <cellStyle name="Hyperlink" xfId="1773" builtinId="8" hidden="1"/>
    <cellStyle name="Hyperlink" xfId="1775" builtinId="8" hidden="1"/>
    <cellStyle name="Hyperlink" xfId="1777" builtinId="8" hidden="1"/>
    <cellStyle name="Hyperlink" xfId="1779" builtinId="8" hidden="1"/>
    <cellStyle name="Hyperlink" xfId="1781" builtinId="8" hidden="1"/>
    <cellStyle name="Hyperlink" xfId="1783" builtinId="8" hidden="1"/>
    <cellStyle name="Hyperlink" xfId="1785" builtinId="8" hidden="1"/>
    <cellStyle name="Hyperlink" xfId="1787" builtinId="8" hidden="1"/>
    <cellStyle name="Hyperlink" xfId="1789" builtinId="8" hidden="1"/>
    <cellStyle name="Hyperlink" xfId="1791" builtinId="8" hidden="1"/>
    <cellStyle name="Hyperlink" xfId="1793" builtinId="8" hidden="1"/>
    <cellStyle name="Hyperlink" xfId="1795" builtinId="8" hidden="1"/>
    <cellStyle name="Hyperlink" xfId="1797" builtinId="8" hidden="1"/>
    <cellStyle name="Hyperlink" xfId="1799" builtinId="8" hidden="1"/>
    <cellStyle name="Hyperlink" xfId="1801" builtinId="8" hidden="1"/>
    <cellStyle name="Hyperlink" xfId="1803" builtinId="8" hidden="1"/>
    <cellStyle name="Hyperlink" xfId="1805" builtinId="8" hidden="1"/>
    <cellStyle name="Hyperlink" xfId="1807" builtinId="8" hidden="1"/>
    <cellStyle name="Hyperlink" xfId="1809" builtinId="8" hidden="1"/>
    <cellStyle name="Hyperlink" xfId="1811" builtinId="8" hidden="1"/>
    <cellStyle name="Hyperlink" xfId="1813" builtinId="8" hidden="1"/>
    <cellStyle name="Hyperlink" xfId="1815" builtinId="8" hidden="1"/>
    <cellStyle name="Hyperlink" xfId="1817" builtinId="8" hidden="1"/>
    <cellStyle name="Hyperlink" xfId="1819" builtinId="8" hidden="1"/>
    <cellStyle name="Hyperlink" xfId="1821" builtinId="8" hidden="1"/>
    <cellStyle name="Hyperlink" xfId="1823" builtinId="8" hidden="1"/>
    <cellStyle name="Hyperlink" xfId="1825" builtinId="8" hidden="1"/>
    <cellStyle name="Hyperlink" xfId="1827" builtinId="8" hidden="1"/>
    <cellStyle name="Hyperlink" xfId="1829" builtinId="8" hidden="1"/>
    <cellStyle name="Hyperlink" xfId="1831" builtinId="8" hidden="1"/>
    <cellStyle name="Hyperlink" xfId="1833" builtinId="8" hidden="1"/>
    <cellStyle name="Hyperlink" xfId="1835" builtinId="8" hidden="1"/>
    <cellStyle name="Hyperlink" xfId="1837" builtinId="8" hidden="1"/>
    <cellStyle name="Hyperlink" xfId="1839" builtinId="8" hidden="1"/>
    <cellStyle name="Hyperlink" xfId="1841" builtinId="8" hidden="1"/>
    <cellStyle name="Hyperlink" xfId="1843" builtinId="8" hidden="1"/>
    <cellStyle name="Hyperlink" xfId="1845" builtinId="8" hidden="1"/>
    <cellStyle name="Hyperlink" xfId="1847" builtinId="8" hidden="1"/>
    <cellStyle name="Hyperlink" xfId="1849" builtinId="8" hidden="1"/>
    <cellStyle name="Hyperlink" xfId="1851" builtinId="8" hidden="1"/>
    <cellStyle name="Hyperlink" xfId="1853" builtinId="8" hidden="1"/>
    <cellStyle name="Hyperlink" xfId="1855" builtinId="8" hidden="1"/>
    <cellStyle name="Hyperlink" xfId="1857" builtinId="8" hidden="1"/>
    <cellStyle name="Hyperlink" xfId="1859" builtinId="8" hidden="1"/>
    <cellStyle name="Hyperlink" xfId="1861" builtinId="8" hidden="1"/>
    <cellStyle name="Hyperlink" xfId="1863" builtinId="8" hidden="1"/>
    <cellStyle name="Hyperlink" xfId="1865" builtinId="8" hidden="1"/>
    <cellStyle name="Hyperlink" xfId="1867" builtinId="8" hidden="1"/>
    <cellStyle name="Hyperlink" xfId="1869" builtinId="8" hidden="1"/>
    <cellStyle name="Hyperlink" xfId="1871" builtinId="8" hidden="1"/>
    <cellStyle name="Hyperlink" xfId="1873" builtinId="8" hidden="1"/>
    <cellStyle name="Hyperlink" xfId="1875" builtinId="8" hidden="1"/>
    <cellStyle name="Hyperlink" xfId="1877" builtinId="8" hidden="1"/>
    <cellStyle name="Hyperlink" xfId="1879" builtinId="8" hidden="1"/>
    <cellStyle name="Hyperlink" xfId="1881" builtinId="8" hidden="1"/>
    <cellStyle name="Hyperlink" xfId="1883" builtinId="8" hidden="1"/>
    <cellStyle name="Hyperlink" xfId="1885" builtinId="8" hidden="1"/>
    <cellStyle name="Hyperlink" xfId="1887" builtinId="8" hidden="1"/>
    <cellStyle name="Hyperlink" xfId="1889" builtinId="8" hidden="1"/>
    <cellStyle name="Hyperlink" xfId="1891" builtinId="8" hidden="1"/>
    <cellStyle name="Hyperlink" xfId="1893" builtinId="8" hidden="1"/>
    <cellStyle name="Hyperlink" xfId="1895" builtinId="8" hidden="1"/>
    <cellStyle name="Hyperlink" xfId="1897" builtinId="8" hidden="1"/>
    <cellStyle name="Hyperlink" xfId="1899" builtinId="8" hidden="1"/>
    <cellStyle name="Hyperlink" xfId="1901" builtinId="8" hidden="1"/>
    <cellStyle name="Hyperlink" xfId="1903" builtinId="8" hidden="1"/>
    <cellStyle name="Hyperlink" xfId="1905" builtinId="8" hidden="1"/>
    <cellStyle name="Hyperlink" xfId="1907" builtinId="8" hidden="1"/>
    <cellStyle name="Hyperlink" xfId="1909" builtinId="8" hidden="1"/>
    <cellStyle name="Hyperlink" xfId="1911" builtinId="8" hidden="1"/>
    <cellStyle name="Hyperlink" xfId="1913" builtinId="8" hidden="1"/>
    <cellStyle name="Hyperlink" xfId="1915" builtinId="8" hidden="1"/>
    <cellStyle name="Hyperlink" xfId="1917" builtinId="8" hidden="1"/>
    <cellStyle name="Hyperlink" xfId="1919" builtinId="8" hidden="1"/>
    <cellStyle name="Hyperlink" xfId="1921" builtinId="8" hidden="1"/>
    <cellStyle name="Hyperlink" xfId="1923" builtinId="8" hidden="1"/>
    <cellStyle name="Hyperlink" xfId="1925" builtinId="8" hidden="1"/>
    <cellStyle name="Hyperlink" xfId="1927" builtinId="8" hidden="1"/>
    <cellStyle name="Hyperlink" xfId="1929" builtinId="8" hidden="1"/>
    <cellStyle name="Hyperlink" xfId="1931" builtinId="8" hidden="1"/>
    <cellStyle name="Hyperlink" xfId="1933" builtinId="8" hidden="1"/>
    <cellStyle name="Hyperlink" xfId="1935" builtinId="8" hidden="1"/>
    <cellStyle name="Hyperlink" xfId="1937" builtinId="8" hidden="1"/>
    <cellStyle name="Hyperlink" xfId="1939" builtinId="8" hidden="1"/>
    <cellStyle name="Hyperlink" xfId="1941" builtinId="8" hidden="1"/>
    <cellStyle name="Hyperlink" xfId="1943" builtinId="8" hidden="1"/>
    <cellStyle name="Hyperlink" xfId="1945" builtinId="8" hidden="1"/>
    <cellStyle name="Hyperlink" xfId="1947" builtinId="8" hidden="1"/>
    <cellStyle name="Hyperlink" xfId="1949" builtinId="8" hidden="1"/>
    <cellStyle name="Hyperlink" xfId="1951" builtinId="8" hidden="1"/>
    <cellStyle name="Hyperlink" xfId="1953" builtinId="8" hidden="1"/>
    <cellStyle name="Hyperlink" xfId="1955" builtinId="8" hidden="1"/>
    <cellStyle name="Hyperlink" xfId="1957" builtinId="8" hidden="1"/>
    <cellStyle name="Hyperlink" xfId="1959" builtinId="8" hidden="1"/>
    <cellStyle name="Hyperlink" xfId="1961" builtinId="8" hidden="1"/>
    <cellStyle name="Hyperlink" xfId="1963" builtinId="8" hidden="1"/>
    <cellStyle name="Hyperlink" xfId="1965" builtinId="8" hidden="1"/>
    <cellStyle name="Hyperlink" xfId="1967" builtinId="8" hidden="1"/>
    <cellStyle name="Hyperlink" xfId="1969" builtinId="8" hidden="1"/>
    <cellStyle name="Hyperlink" xfId="1971" builtinId="8" hidden="1"/>
    <cellStyle name="Hyperlink" xfId="1973" builtinId="8" hidden="1"/>
    <cellStyle name="Hyperlink" xfId="1975" builtinId="8" hidden="1"/>
    <cellStyle name="Hyperlink" xfId="1977" builtinId="8" hidden="1"/>
    <cellStyle name="Hyperlink" xfId="1979" builtinId="8" hidden="1"/>
    <cellStyle name="Hyperlink" xfId="1981" builtinId="8" hidden="1"/>
    <cellStyle name="Hyperlink" xfId="1983" builtinId="8" hidden="1"/>
    <cellStyle name="Hyperlink" xfId="1985" builtinId="8" hidden="1"/>
    <cellStyle name="Hyperlink" xfId="1987" builtinId="8" hidden="1"/>
    <cellStyle name="Hyperlink" xfId="1989" builtinId="8" hidden="1"/>
    <cellStyle name="Hyperlink" xfId="1991" builtinId="8" hidden="1"/>
    <cellStyle name="Hyperlink" xfId="1993" builtinId="8" hidden="1"/>
    <cellStyle name="Hyperlink" xfId="1995" builtinId="8" hidden="1"/>
    <cellStyle name="Hyperlink" xfId="1997" builtinId="8" hidden="1"/>
    <cellStyle name="Hyperlink" xfId="1999" builtinId="8" hidden="1"/>
    <cellStyle name="Hyperlink" xfId="2001" builtinId="8" hidden="1"/>
    <cellStyle name="Hyperlink" xfId="2003" builtinId="8" hidden="1"/>
    <cellStyle name="Hyperlink" xfId="2005" builtinId="8" hidden="1"/>
    <cellStyle name="Hyperlink" xfId="2007" builtinId="8" hidden="1"/>
    <cellStyle name="Hyperlink" xfId="2009" builtinId="8" hidden="1"/>
    <cellStyle name="Hyperlink" xfId="2011" builtinId="8" hidden="1"/>
    <cellStyle name="Hyperlink" xfId="2013" builtinId="8" hidden="1"/>
    <cellStyle name="Hyperlink" xfId="2015" builtinId="8" hidden="1"/>
    <cellStyle name="Hyperlink" xfId="2017" builtinId="8" hidden="1"/>
    <cellStyle name="Hyperlink" xfId="2019" builtinId="8" hidden="1"/>
    <cellStyle name="Hyperlink" xfId="2021" builtinId="8" hidden="1"/>
    <cellStyle name="Hyperlink" xfId="2023" builtinId="8" hidden="1"/>
    <cellStyle name="Hyperlink" xfId="2025" builtinId="8" hidden="1"/>
    <cellStyle name="Hyperlink" xfId="2027" builtinId="8" hidden="1"/>
    <cellStyle name="Hyperlink" xfId="2029" builtinId="8" hidden="1"/>
    <cellStyle name="Hyperlink" xfId="2031" builtinId="8" hidden="1"/>
    <cellStyle name="Hyperlink" xfId="2033" builtinId="8" hidden="1"/>
    <cellStyle name="Hyperlink" xfId="2035" builtinId="8" hidden="1"/>
    <cellStyle name="Hyperlink" xfId="2037" builtinId="8" hidden="1"/>
    <cellStyle name="Hyperlink" xfId="2039" builtinId="8" hidden="1"/>
    <cellStyle name="Hyperlink" xfId="2041" builtinId="8" hidden="1"/>
    <cellStyle name="Hyperlink" xfId="2043" builtinId="8" hidden="1"/>
    <cellStyle name="Hyperlink" xfId="2045" builtinId="8" hidden="1"/>
    <cellStyle name="Hyperlink" xfId="2047" builtinId="8" hidden="1"/>
    <cellStyle name="Hyperlink" xfId="2049" builtinId="8" hidden="1"/>
    <cellStyle name="Hyperlink" xfId="2051" builtinId="8" hidden="1"/>
    <cellStyle name="Hyperlink" xfId="2053" builtinId="8" hidden="1"/>
    <cellStyle name="Hyperlink" xfId="2055" builtinId="8" hidden="1"/>
    <cellStyle name="Hyperlink" xfId="2057" builtinId="8" hidden="1"/>
    <cellStyle name="Hyperlink" xfId="2059" builtinId="8" hidden="1"/>
    <cellStyle name="Hyperlink" xfId="2061" builtinId="8" hidden="1"/>
    <cellStyle name="Hyperlink" xfId="2063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pivotCacheDefinition" Target="pivotCache/pivotCacheDefinition3.xml"/><Relationship Id="rId21" Type="http://schemas.openxmlformats.org/officeDocument/2006/relationships/pivotCacheDefinition" Target="pivotCache/pivotCacheDefinition4.xml"/><Relationship Id="rId22" Type="http://schemas.openxmlformats.org/officeDocument/2006/relationships/pivotCacheDefinition" Target="pivotCache/pivotCacheDefinition5.xml"/><Relationship Id="rId23" Type="http://schemas.openxmlformats.org/officeDocument/2006/relationships/theme" Target="theme/theme1.xml"/><Relationship Id="rId24" Type="http://schemas.openxmlformats.org/officeDocument/2006/relationships/styles" Target="styles.xml"/><Relationship Id="rId25" Type="http://schemas.openxmlformats.org/officeDocument/2006/relationships/sharedStrings" Target="sharedStrings.xml"/><Relationship Id="rId26" Type="http://schemas.openxmlformats.org/officeDocument/2006/relationships/calcChain" Target="calcChain.xml"/><Relationship Id="rId27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pivotCacheDefinition" Target="pivotCache/pivotCacheDefinition1.xml"/><Relationship Id="rId19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Loss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Std_Dev!$I$4</c:f>
              <c:strCache>
                <c:ptCount val="1"/>
                <c:pt idx="0">
                  <c:v>OFF+ loss</c:v>
                </c:pt>
              </c:strCache>
            </c:strRef>
          </c:tx>
          <c:spPr>
            <a:ln>
              <a:solidFill>
                <a:schemeClr val="accent2">
                  <a:lumMod val="40000"/>
                  <a:lumOff val="60000"/>
                </a:schemeClr>
              </a:solidFill>
            </a:ln>
          </c:spPr>
          <c:marker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40000"/>
                    <a:lumOff val="60000"/>
                  </a:schemeClr>
                </a:solidFill>
              </a:ln>
            </c:spPr>
          </c:marker>
          <c:cat>
            <c:strRef>
              <c:f>Std_Dev!$H$5:$H$10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Std_Dev!$I$5:$I$10</c:f>
              <c:numCache>
                <c:formatCode>0.00</c:formatCode>
                <c:ptCount val="6"/>
                <c:pt idx="0">
                  <c:v>2.109282551033279</c:v>
                </c:pt>
                <c:pt idx="1">
                  <c:v>2.161059755952938</c:v>
                </c:pt>
                <c:pt idx="2">
                  <c:v>2.206687157888864</c:v>
                </c:pt>
                <c:pt idx="3">
                  <c:v>2.253842414657073</c:v>
                </c:pt>
                <c:pt idx="4">
                  <c:v>2.32413472781418</c:v>
                </c:pt>
                <c:pt idx="5">
                  <c:v>2.344716834862394</c:v>
                </c:pt>
              </c:numCache>
            </c:numRef>
          </c:val>
          <c:smooth val="0"/>
        </c:ser>
        <c:ser>
          <c:idx val="7"/>
          <c:order val="1"/>
          <c:tx>
            <c:strRef>
              <c:f>Std_Dev!$J$4</c:f>
              <c:strCache>
                <c:ptCount val="1"/>
                <c:pt idx="0">
                  <c:v>LSTM avg loss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cat>
            <c:strRef>
              <c:f>Std_Dev!$H$5:$H$10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Std_Dev!$J$5:$J$10</c:f>
              <c:numCache>
                <c:formatCode>0.00</c:formatCode>
                <c:ptCount val="6"/>
                <c:pt idx="0">
                  <c:v>1.926302777777778</c:v>
                </c:pt>
                <c:pt idx="1">
                  <c:v>1.938497222222222</c:v>
                </c:pt>
                <c:pt idx="2">
                  <c:v>1.948391666666666</c:v>
                </c:pt>
                <c:pt idx="3">
                  <c:v>1.983175</c:v>
                </c:pt>
                <c:pt idx="4">
                  <c:v>2.014669444444444</c:v>
                </c:pt>
                <c:pt idx="5">
                  <c:v>2.036211111111111</c:v>
                </c:pt>
              </c:numCache>
            </c:numRef>
          </c:val>
          <c:smooth val="0"/>
        </c:ser>
        <c:ser>
          <c:idx val="8"/>
          <c:order val="2"/>
          <c:tx>
            <c:strRef>
              <c:f>Std_Dev!$K$4</c:f>
              <c:strCache>
                <c:ptCount val="1"/>
                <c:pt idx="0">
                  <c:v>OFF- loss</c:v>
                </c:pt>
              </c:strCache>
            </c:strRef>
          </c:tx>
          <c:spPr>
            <a:ln>
              <a:solidFill>
                <a:schemeClr val="accent2">
                  <a:lumMod val="20000"/>
                  <a:lumOff val="80000"/>
                </a:schemeClr>
              </a:solidFill>
            </a:ln>
          </c:spPr>
          <c:marker>
            <c:spPr>
              <a:solidFill>
                <a:schemeClr val="accent2">
                  <a:lumMod val="20000"/>
                  <a:lumOff val="80000"/>
                </a:schemeClr>
              </a:solidFill>
              <a:ln>
                <a:solidFill>
                  <a:schemeClr val="accent2">
                    <a:lumMod val="20000"/>
                    <a:lumOff val="80000"/>
                  </a:schemeClr>
                </a:solidFill>
              </a:ln>
            </c:spPr>
          </c:marker>
          <c:cat>
            <c:strRef>
              <c:f>Std_Dev!$H$5:$H$10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Std_Dev!$K$5:$K$10</c:f>
              <c:numCache>
                <c:formatCode>0.00</c:formatCode>
                <c:ptCount val="6"/>
                <c:pt idx="0">
                  <c:v>1.743323004522277</c:v>
                </c:pt>
                <c:pt idx="1">
                  <c:v>1.715934688491505</c:v>
                </c:pt>
                <c:pt idx="2">
                  <c:v>1.690096175444468</c:v>
                </c:pt>
                <c:pt idx="3">
                  <c:v>1.712507585342926</c:v>
                </c:pt>
                <c:pt idx="4">
                  <c:v>1.705204161074709</c:v>
                </c:pt>
                <c:pt idx="5">
                  <c:v>1.727705387359827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Std_Dev!$O$4</c:f>
              <c:strCache>
                <c:ptCount val="1"/>
                <c:pt idx="0">
                  <c:v>ON+ loss</c:v>
                </c:pt>
              </c:strCache>
            </c:strRef>
          </c:tx>
          <c:spPr>
            <a:ln>
              <a:solidFill>
                <a:schemeClr val="tx2">
                  <a:lumMod val="20000"/>
                  <a:lumOff val="80000"/>
                </a:schemeClr>
              </a:solidFill>
            </a:ln>
          </c:spPr>
          <c:marker>
            <c:spPr>
              <a:solidFill>
                <a:schemeClr val="tx2">
                  <a:lumMod val="20000"/>
                  <a:lumOff val="80000"/>
                </a:schemeClr>
              </a:solidFill>
              <a:ln>
                <a:solidFill>
                  <a:schemeClr val="tx2">
                    <a:lumMod val="20000"/>
                    <a:lumOff val="80000"/>
                  </a:schemeClr>
                </a:solidFill>
              </a:ln>
            </c:spPr>
          </c:marker>
          <c:cat>
            <c:strRef>
              <c:f>Std_Dev!$H$5:$H$10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Std_Dev!$O$5:$O$10</c:f>
              <c:numCache>
                <c:formatCode>0.00</c:formatCode>
                <c:ptCount val="6"/>
                <c:pt idx="0">
                  <c:v>2.059364333009894</c:v>
                </c:pt>
                <c:pt idx="1">
                  <c:v>2.129689546747905</c:v>
                </c:pt>
                <c:pt idx="2">
                  <c:v>2.147792419887762</c:v>
                </c:pt>
                <c:pt idx="3">
                  <c:v>2.181244378567976</c:v>
                </c:pt>
                <c:pt idx="4">
                  <c:v>2.227363493626106</c:v>
                </c:pt>
                <c:pt idx="5">
                  <c:v>2.275338680906287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Std_Dev!$P$4</c:f>
              <c:strCache>
                <c:ptCount val="1"/>
                <c:pt idx="0">
                  <c:v>GRU - avg loss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cat>
            <c:strRef>
              <c:f>Std_Dev!$H$5:$H$10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Std_Dev!$P$5:$P$10</c:f>
              <c:numCache>
                <c:formatCode>0.00</c:formatCode>
                <c:ptCount val="6"/>
                <c:pt idx="0">
                  <c:v>1.871208333333333</c:v>
                </c:pt>
                <c:pt idx="1">
                  <c:v>1.909877777777778</c:v>
                </c:pt>
                <c:pt idx="2">
                  <c:v>1.921688888888889</c:v>
                </c:pt>
                <c:pt idx="3">
                  <c:v>1.943708333333333</c:v>
                </c:pt>
                <c:pt idx="4">
                  <c:v>1.975227777777778</c:v>
                </c:pt>
                <c:pt idx="5">
                  <c:v>2.008019444444444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Std_Dev!$Q$4</c:f>
              <c:strCache>
                <c:ptCount val="1"/>
                <c:pt idx="0">
                  <c:v>ON- loss</c:v>
                </c:pt>
              </c:strCache>
            </c:strRef>
          </c:tx>
          <c:spPr>
            <a:ln>
              <a:solidFill>
                <a:schemeClr val="accent1">
                  <a:lumMod val="20000"/>
                  <a:lumOff val="80000"/>
                </a:schemeClr>
              </a:solidFill>
            </a:ln>
          </c:spPr>
          <c:marker>
            <c:spPr>
              <a:solidFill>
                <a:schemeClr val="accent1">
                  <a:lumMod val="20000"/>
                  <a:lumOff val="80000"/>
                </a:schemeClr>
              </a:solidFill>
              <a:ln>
                <a:solidFill>
                  <a:schemeClr val="accent1">
                    <a:lumMod val="20000"/>
                    <a:lumOff val="80000"/>
                  </a:schemeClr>
                </a:solidFill>
              </a:ln>
            </c:spPr>
          </c:marker>
          <c:cat>
            <c:strRef>
              <c:f>Std_Dev!$H$5:$H$10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Std_Dev!$Q$5:$Q$10</c:f>
              <c:numCache>
                <c:formatCode>0.00</c:formatCode>
                <c:ptCount val="6"/>
                <c:pt idx="0">
                  <c:v>1.683052333656772</c:v>
                </c:pt>
                <c:pt idx="1">
                  <c:v>1.69006600880765</c:v>
                </c:pt>
                <c:pt idx="2">
                  <c:v>1.695585357890015</c:v>
                </c:pt>
                <c:pt idx="3">
                  <c:v>1.70617228809869</c:v>
                </c:pt>
                <c:pt idx="4">
                  <c:v>1.723092061929449</c:v>
                </c:pt>
                <c:pt idx="5">
                  <c:v>1.740700207982602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7700904"/>
        <c:axId val="2137706024"/>
      </c:lineChart>
      <c:catAx>
        <c:axId val="2137700904"/>
        <c:scaling>
          <c:orientation val="minMax"/>
        </c:scaling>
        <c:delete val="0"/>
        <c:axPos val="b"/>
        <c:majorTickMark val="out"/>
        <c:minorTickMark val="none"/>
        <c:tickLblPos val="nextTo"/>
        <c:crossAx val="2137706024"/>
        <c:crosses val="autoZero"/>
        <c:auto val="1"/>
        <c:lblAlgn val="ctr"/>
        <c:lblOffset val="100"/>
        <c:noMultiLvlLbl val="0"/>
      </c:catAx>
      <c:valAx>
        <c:axId val="2137706024"/>
        <c:scaling>
          <c:orientation val="minMax"/>
          <c:min val="1.5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377009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Accuracy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9"/>
          <c:order val="0"/>
          <c:tx>
            <c:strRef>
              <c:f>Std_Dev!$L$4</c:f>
              <c:strCache>
                <c:ptCount val="1"/>
                <c:pt idx="0">
                  <c:v>OFF+ acc</c:v>
                </c:pt>
              </c:strCache>
            </c:strRef>
          </c:tx>
          <c:spPr>
            <a:ln>
              <a:solidFill>
                <a:srgbClr val="E6B9B8"/>
              </a:solidFill>
            </a:ln>
          </c:spPr>
          <c:marker>
            <c:spPr>
              <a:solidFill>
                <a:srgbClr val="E6B9B8"/>
              </a:solidFill>
              <a:ln>
                <a:solidFill>
                  <a:srgbClr val="E6B9B8"/>
                </a:solidFill>
              </a:ln>
            </c:spPr>
          </c:marker>
          <c:cat>
            <c:strRef>
              <c:f>Std_Dev!$H$5:$H$10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Std_Dev!$L$5:$L$10</c:f>
              <c:numCache>
                <c:formatCode>0.00</c:formatCode>
                <c:ptCount val="6"/>
                <c:pt idx="0">
                  <c:v>0.534809246605755</c:v>
                </c:pt>
                <c:pt idx="1">
                  <c:v>0.542855685038254</c:v>
                </c:pt>
                <c:pt idx="2">
                  <c:v>0.550295249862384</c:v>
                </c:pt>
                <c:pt idx="3">
                  <c:v>0.549459726550661</c:v>
                </c:pt>
                <c:pt idx="4">
                  <c:v>0.551623176909082</c:v>
                </c:pt>
                <c:pt idx="5">
                  <c:v>0.553909229435047</c:v>
                </c:pt>
              </c:numCache>
            </c:numRef>
          </c:val>
          <c:smooth val="0"/>
        </c:ser>
        <c:ser>
          <c:idx val="10"/>
          <c:order val="1"/>
          <c:tx>
            <c:strRef>
              <c:f>Std_Dev!$M$4</c:f>
              <c:strCache>
                <c:ptCount val="1"/>
                <c:pt idx="0">
                  <c:v>LSTM avg loss</c:v>
                </c:pt>
              </c:strCache>
            </c:strRef>
          </c:tx>
          <c:spPr>
            <a:ln>
              <a:solidFill>
                <a:srgbClr val="C0504D"/>
              </a:solidFill>
            </a:ln>
          </c:spPr>
          <c:marker>
            <c:spPr>
              <a:solidFill>
                <a:srgbClr val="C0504D"/>
              </a:solidFill>
              <a:ln>
                <a:solidFill>
                  <a:srgbClr val="C0504D"/>
                </a:solidFill>
              </a:ln>
            </c:spPr>
          </c:marker>
          <c:cat>
            <c:strRef>
              <c:f>Std_Dev!$H$5:$H$10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Std_Dev!$M$5:$M$10</c:f>
              <c:numCache>
                <c:formatCode>0.00</c:formatCode>
                <c:ptCount val="6"/>
                <c:pt idx="0">
                  <c:v>0.521708333333333</c:v>
                </c:pt>
                <c:pt idx="1">
                  <c:v>0.529694444444444</c:v>
                </c:pt>
                <c:pt idx="2">
                  <c:v>0.536083333333333</c:v>
                </c:pt>
                <c:pt idx="3">
                  <c:v>0.534402777777778</c:v>
                </c:pt>
                <c:pt idx="4">
                  <c:v>0.534180555555556</c:v>
                </c:pt>
                <c:pt idx="5">
                  <c:v>0.536111111111111</c:v>
                </c:pt>
              </c:numCache>
            </c:numRef>
          </c:val>
          <c:smooth val="0"/>
        </c:ser>
        <c:ser>
          <c:idx val="11"/>
          <c:order val="2"/>
          <c:tx>
            <c:strRef>
              <c:f>Std_Dev!$N$4</c:f>
              <c:strCache>
                <c:ptCount val="1"/>
                <c:pt idx="0">
                  <c:v>OFF- acc</c:v>
                </c:pt>
              </c:strCache>
            </c:strRef>
          </c:tx>
          <c:spPr>
            <a:ln>
              <a:solidFill>
                <a:schemeClr val="accent2">
                  <a:lumMod val="20000"/>
                  <a:lumOff val="80000"/>
                </a:schemeClr>
              </a:solidFill>
            </a:ln>
          </c:spPr>
          <c:marker>
            <c:spPr>
              <a:solidFill>
                <a:schemeClr val="accent2">
                  <a:lumMod val="20000"/>
                  <a:lumOff val="80000"/>
                </a:schemeClr>
              </a:solidFill>
              <a:ln>
                <a:solidFill>
                  <a:schemeClr val="accent2">
                    <a:lumMod val="20000"/>
                    <a:lumOff val="80000"/>
                  </a:schemeClr>
                </a:solidFill>
              </a:ln>
            </c:spPr>
          </c:marker>
          <c:cat>
            <c:strRef>
              <c:f>Std_Dev!$H$5:$H$10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Std_Dev!$N$5:$N$10</c:f>
              <c:numCache>
                <c:formatCode>0.00</c:formatCode>
                <c:ptCount val="6"/>
                <c:pt idx="0">
                  <c:v>0.508607420060911</c:v>
                </c:pt>
                <c:pt idx="1">
                  <c:v>0.516533203850635</c:v>
                </c:pt>
                <c:pt idx="2">
                  <c:v>0.521871416804283</c:v>
                </c:pt>
                <c:pt idx="3">
                  <c:v>0.519345829004894</c:v>
                </c:pt>
                <c:pt idx="4">
                  <c:v>0.51673793420203</c:v>
                </c:pt>
                <c:pt idx="5">
                  <c:v>0.518312992787175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Std_Dev!$R$4</c:f>
              <c:strCache>
                <c:ptCount val="1"/>
                <c:pt idx="0">
                  <c:v>ON+ acc</c:v>
                </c:pt>
              </c:strCache>
            </c:strRef>
          </c:tx>
          <c:spPr>
            <a:ln>
              <a:solidFill>
                <a:srgbClr val="C6D9F1"/>
              </a:solidFill>
            </a:ln>
          </c:spPr>
          <c:marker>
            <c:spPr>
              <a:solidFill>
                <a:srgbClr val="C6D9F1"/>
              </a:solidFill>
              <a:ln>
                <a:solidFill>
                  <a:srgbClr val="C6D9F1"/>
                </a:solidFill>
              </a:ln>
            </c:spPr>
          </c:marker>
          <c:cat>
            <c:strRef>
              <c:f>Std_Dev!$H$5:$H$10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Std_Dev!$R$5:$R$10</c:f>
              <c:numCache>
                <c:formatCode>0.00</c:formatCode>
                <c:ptCount val="6"/>
                <c:pt idx="0">
                  <c:v>0.550372840529989</c:v>
                </c:pt>
                <c:pt idx="1">
                  <c:v>0.550405573965661</c:v>
                </c:pt>
                <c:pt idx="2">
                  <c:v>0.553417119041474</c:v>
                </c:pt>
                <c:pt idx="3">
                  <c:v>0.556247362938416</c:v>
                </c:pt>
                <c:pt idx="4">
                  <c:v>0.55360183581476</c:v>
                </c:pt>
                <c:pt idx="5">
                  <c:v>0.553929190479672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Std_Dev!$S$4</c:f>
              <c:strCache>
                <c:ptCount val="1"/>
                <c:pt idx="0">
                  <c:v>GRU avg loss</c:v>
                </c:pt>
              </c:strCache>
            </c:strRef>
          </c:tx>
          <c:spPr>
            <a:ln>
              <a:solidFill>
                <a:srgbClr val="4F81BD"/>
              </a:solidFill>
            </a:ln>
          </c:spPr>
          <c:marker>
            <c:spPr>
              <a:solidFill>
                <a:srgbClr val="4F81BD"/>
              </a:solidFill>
              <a:ln>
                <a:solidFill>
                  <a:srgbClr val="4F81BD"/>
                </a:solidFill>
              </a:ln>
            </c:spPr>
          </c:marker>
          <c:cat>
            <c:strRef>
              <c:f>Std_Dev!$H$5:$H$10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Std_Dev!$S$5:$S$10</c:f>
              <c:numCache>
                <c:formatCode>0.00</c:formatCode>
                <c:ptCount val="6"/>
                <c:pt idx="0">
                  <c:v>0.534708333333334</c:v>
                </c:pt>
                <c:pt idx="1">
                  <c:v>0.534</c:v>
                </c:pt>
                <c:pt idx="2">
                  <c:v>0.53675</c:v>
                </c:pt>
                <c:pt idx="3">
                  <c:v>0.537944444444444</c:v>
                </c:pt>
                <c:pt idx="4">
                  <c:v>0.536208333333333</c:v>
                </c:pt>
                <c:pt idx="5">
                  <c:v>0.536611111111111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Std_Dev!$T$4</c:f>
              <c:strCache>
                <c:ptCount val="1"/>
                <c:pt idx="0">
                  <c:v>ON- acc</c:v>
                </c:pt>
              </c:strCache>
            </c:strRef>
          </c:tx>
          <c:spPr>
            <a:ln>
              <a:solidFill>
                <a:srgbClr val="DCE6F2"/>
              </a:solidFill>
            </a:ln>
          </c:spPr>
          <c:marker>
            <c:spPr>
              <a:solidFill>
                <a:srgbClr val="DCE6F2"/>
              </a:solidFill>
              <a:ln>
                <a:solidFill>
                  <a:srgbClr val="DCE6F2"/>
                </a:solidFill>
              </a:ln>
            </c:spPr>
          </c:marker>
          <c:cat>
            <c:strRef>
              <c:f>Std_Dev!$H$5:$H$10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Std_Dev!$T$5:$T$10</c:f>
              <c:numCache>
                <c:formatCode>0.00</c:formatCode>
                <c:ptCount val="6"/>
                <c:pt idx="0">
                  <c:v>0.519043826136679</c:v>
                </c:pt>
                <c:pt idx="1">
                  <c:v>0.517594426034339</c:v>
                </c:pt>
                <c:pt idx="2">
                  <c:v>0.520082880958527</c:v>
                </c:pt>
                <c:pt idx="3">
                  <c:v>0.519641525950473</c:v>
                </c:pt>
                <c:pt idx="4">
                  <c:v>0.518814830851907</c:v>
                </c:pt>
                <c:pt idx="5">
                  <c:v>0.51929303174255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7757560"/>
        <c:axId val="2137762680"/>
      </c:lineChart>
      <c:catAx>
        <c:axId val="2137757560"/>
        <c:scaling>
          <c:orientation val="minMax"/>
        </c:scaling>
        <c:delete val="0"/>
        <c:axPos val="b"/>
        <c:majorTickMark val="out"/>
        <c:minorTickMark val="none"/>
        <c:tickLblPos val="nextTo"/>
        <c:crossAx val="2137762680"/>
        <c:crosses val="autoZero"/>
        <c:auto val="1"/>
        <c:lblAlgn val="ctr"/>
        <c:lblOffset val="100"/>
        <c:noMultiLvlLbl val="0"/>
      </c:catAx>
      <c:valAx>
        <c:axId val="2137762680"/>
        <c:scaling>
          <c:orientation val="minMax"/>
          <c:min val="0.46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377575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Loss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'Cell Type'!$J$4</c:f>
              <c:strCache>
                <c:ptCount val="1"/>
                <c:pt idx="0">
                  <c:v>LSTM - max loss</c:v>
                </c:pt>
              </c:strCache>
            </c:strRef>
          </c:tx>
          <c:spPr>
            <a:ln>
              <a:solidFill>
                <a:schemeClr val="accent2">
                  <a:lumMod val="40000"/>
                  <a:lumOff val="60000"/>
                </a:schemeClr>
              </a:solidFill>
            </a:ln>
          </c:spPr>
          <c:marker>
            <c:symbol val="triangle"/>
            <c:size val="9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40000"/>
                    <a:lumOff val="60000"/>
                  </a:schemeClr>
                </a:solidFill>
              </a:ln>
            </c:spPr>
          </c:marker>
          <c:cat>
            <c:strRef>
              <c:f>'Cell Type'!$I$5:$I$10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'Cell Type'!$J$5:$J$10</c:f>
              <c:numCache>
                <c:formatCode>0.00</c:formatCode>
                <c:ptCount val="6"/>
                <c:pt idx="0">
                  <c:v>2.3136</c:v>
                </c:pt>
                <c:pt idx="1">
                  <c:v>2.4002</c:v>
                </c:pt>
                <c:pt idx="2">
                  <c:v>2.3825</c:v>
                </c:pt>
                <c:pt idx="3">
                  <c:v>2.5338</c:v>
                </c:pt>
                <c:pt idx="4">
                  <c:v>2.516</c:v>
                </c:pt>
                <c:pt idx="5">
                  <c:v>2.6053</c:v>
                </c:pt>
              </c:numCache>
            </c:numRef>
          </c:val>
          <c:smooth val="0"/>
        </c:ser>
        <c:ser>
          <c:idx val="7"/>
          <c:order val="1"/>
          <c:tx>
            <c:strRef>
              <c:f>'Cell Type'!$K$4</c:f>
              <c:strCache>
                <c:ptCount val="1"/>
                <c:pt idx="0">
                  <c:v>LSTM - avg loss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triangle"/>
            <c:size val="9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cat>
            <c:strRef>
              <c:f>'Cell Type'!$I$5:$I$10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'Cell Type'!$K$5:$K$10</c:f>
              <c:numCache>
                <c:formatCode>0.00</c:formatCode>
                <c:ptCount val="6"/>
                <c:pt idx="0">
                  <c:v>1.926302777777778</c:v>
                </c:pt>
                <c:pt idx="1">
                  <c:v>1.938497222222222</c:v>
                </c:pt>
                <c:pt idx="2">
                  <c:v>1.948391666666666</c:v>
                </c:pt>
                <c:pt idx="3">
                  <c:v>1.983175</c:v>
                </c:pt>
                <c:pt idx="4">
                  <c:v>2.014669444444444</c:v>
                </c:pt>
                <c:pt idx="5">
                  <c:v>2.036211111111111</c:v>
                </c:pt>
              </c:numCache>
            </c:numRef>
          </c:val>
          <c:smooth val="0"/>
        </c:ser>
        <c:ser>
          <c:idx val="8"/>
          <c:order val="2"/>
          <c:tx>
            <c:strRef>
              <c:f>'Cell Type'!$L$4</c:f>
              <c:strCache>
                <c:ptCount val="1"/>
                <c:pt idx="0">
                  <c:v>LSTM - min loss</c:v>
                </c:pt>
              </c:strCache>
            </c:strRef>
          </c:tx>
          <c:spPr>
            <a:ln>
              <a:solidFill>
                <a:schemeClr val="accent2">
                  <a:lumMod val="20000"/>
                  <a:lumOff val="80000"/>
                </a:schemeClr>
              </a:solidFill>
            </a:ln>
          </c:spPr>
          <c:marker>
            <c:spPr>
              <a:solidFill>
                <a:schemeClr val="accent2">
                  <a:lumMod val="20000"/>
                  <a:lumOff val="80000"/>
                </a:schemeClr>
              </a:solidFill>
              <a:ln>
                <a:solidFill>
                  <a:schemeClr val="accent2">
                    <a:lumMod val="20000"/>
                    <a:lumOff val="80000"/>
                  </a:schemeClr>
                </a:solidFill>
              </a:ln>
            </c:spPr>
          </c:marker>
          <c:cat>
            <c:strRef>
              <c:f>'Cell Type'!$I$5:$I$10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'Cell Type'!$L$5:$L$10</c:f>
              <c:numCache>
                <c:formatCode>0.00</c:formatCode>
                <c:ptCount val="6"/>
                <c:pt idx="0">
                  <c:v>1.6588</c:v>
                </c:pt>
                <c:pt idx="1">
                  <c:v>1.6237</c:v>
                </c:pt>
                <c:pt idx="2">
                  <c:v>1.6083</c:v>
                </c:pt>
                <c:pt idx="3">
                  <c:v>1.6688</c:v>
                </c:pt>
                <c:pt idx="4">
                  <c:v>1.626</c:v>
                </c:pt>
                <c:pt idx="5">
                  <c:v>1.6587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'Cell Type'!$P$4</c:f>
              <c:strCache>
                <c:ptCount val="1"/>
                <c:pt idx="0">
                  <c:v>GRU - max loss</c:v>
                </c:pt>
              </c:strCache>
            </c:strRef>
          </c:tx>
          <c:spPr>
            <a:ln>
              <a:solidFill>
                <a:schemeClr val="tx2">
                  <a:lumMod val="20000"/>
                  <a:lumOff val="80000"/>
                </a:schemeClr>
              </a:solidFill>
            </a:ln>
          </c:spPr>
          <c:marker>
            <c:spPr>
              <a:solidFill>
                <a:schemeClr val="tx2">
                  <a:lumMod val="20000"/>
                  <a:lumOff val="80000"/>
                </a:schemeClr>
              </a:solidFill>
              <a:ln>
                <a:solidFill>
                  <a:schemeClr val="tx2">
                    <a:lumMod val="20000"/>
                    <a:lumOff val="80000"/>
                  </a:schemeClr>
                </a:solidFill>
              </a:ln>
            </c:spPr>
          </c:marker>
          <c:cat>
            <c:strRef>
              <c:f>'Cell Type'!$I$5:$I$10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'Cell Type'!$P$5:$P$10</c:f>
              <c:numCache>
                <c:formatCode>0.00</c:formatCode>
                <c:ptCount val="6"/>
                <c:pt idx="0">
                  <c:v>2.2474</c:v>
                </c:pt>
                <c:pt idx="1">
                  <c:v>2.4148</c:v>
                </c:pt>
                <c:pt idx="2">
                  <c:v>2.405</c:v>
                </c:pt>
                <c:pt idx="3">
                  <c:v>2.3707</c:v>
                </c:pt>
                <c:pt idx="4">
                  <c:v>2.4269</c:v>
                </c:pt>
                <c:pt idx="5">
                  <c:v>2.42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'Cell Type'!$Q$4</c:f>
              <c:strCache>
                <c:ptCount val="1"/>
                <c:pt idx="0">
                  <c:v>GRU - avg loss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cat>
            <c:strRef>
              <c:f>'Cell Type'!$I$5:$I$10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'Cell Type'!$Q$5:$Q$10</c:f>
              <c:numCache>
                <c:formatCode>0.00</c:formatCode>
                <c:ptCount val="6"/>
                <c:pt idx="0">
                  <c:v>1.871208333333333</c:v>
                </c:pt>
                <c:pt idx="1">
                  <c:v>1.909877777777778</c:v>
                </c:pt>
                <c:pt idx="2">
                  <c:v>1.921688888888889</c:v>
                </c:pt>
                <c:pt idx="3">
                  <c:v>1.943708333333333</c:v>
                </c:pt>
                <c:pt idx="4">
                  <c:v>1.975227777777778</c:v>
                </c:pt>
                <c:pt idx="5">
                  <c:v>2.008019444444444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'Cell Type'!$R$4</c:f>
              <c:strCache>
                <c:ptCount val="1"/>
                <c:pt idx="0">
                  <c:v>GRU - min loss</c:v>
                </c:pt>
              </c:strCache>
            </c:strRef>
          </c:tx>
          <c:spPr>
            <a:ln>
              <a:solidFill>
                <a:schemeClr val="accent1">
                  <a:lumMod val="20000"/>
                  <a:lumOff val="80000"/>
                </a:schemeClr>
              </a:solidFill>
            </a:ln>
          </c:spPr>
          <c:marker>
            <c:spPr>
              <a:solidFill>
                <a:schemeClr val="accent1">
                  <a:lumMod val="20000"/>
                  <a:lumOff val="80000"/>
                </a:schemeClr>
              </a:solidFill>
              <a:ln>
                <a:solidFill>
                  <a:schemeClr val="accent1">
                    <a:lumMod val="20000"/>
                    <a:lumOff val="80000"/>
                  </a:schemeClr>
                </a:solidFill>
              </a:ln>
            </c:spPr>
          </c:marker>
          <c:cat>
            <c:strRef>
              <c:f>'Cell Type'!$I$5:$I$10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'Cell Type'!$R$5:$R$10</c:f>
              <c:numCache>
                <c:formatCode>0.00</c:formatCode>
                <c:ptCount val="6"/>
                <c:pt idx="0">
                  <c:v>1.6056</c:v>
                </c:pt>
                <c:pt idx="1">
                  <c:v>1.6621</c:v>
                </c:pt>
                <c:pt idx="2">
                  <c:v>1.6281</c:v>
                </c:pt>
                <c:pt idx="3">
                  <c:v>1.5973</c:v>
                </c:pt>
                <c:pt idx="4">
                  <c:v>1.639</c:v>
                </c:pt>
                <c:pt idx="5">
                  <c:v>1.6245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4341880"/>
        <c:axId val="2124346824"/>
      </c:lineChart>
      <c:catAx>
        <c:axId val="2124341880"/>
        <c:scaling>
          <c:orientation val="minMax"/>
        </c:scaling>
        <c:delete val="0"/>
        <c:axPos val="b"/>
        <c:majorTickMark val="out"/>
        <c:minorTickMark val="none"/>
        <c:tickLblPos val="nextTo"/>
        <c:crossAx val="2124346824"/>
        <c:crosses val="autoZero"/>
        <c:auto val="1"/>
        <c:lblAlgn val="ctr"/>
        <c:lblOffset val="100"/>
        <c:noMultiLvlLbl val="0"/>
      </c:catAx>
      <c:valAx>
        <c:axId val="2124346824"/>
        <c:scaling>
          <c:orientation val="minMax"/>
          <c:min val="1.5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24341880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Accuracy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9"/>
          <c:order val="0"/>
          <c:tx>
            <c:strRef>
              <c:f>'Cell Type'!$M$4</c:f>
              <c:strCache>
                <c:ptCount val="1"/>
                <c:pt idx="0">
                  <c:v>LSTM - max of acc</c:v>
                </c:pt>
              </c:strCache>
            </c:strRef>
          </c:tx>
          <c:spPr>
            <a:ln>
              <a:solidFill>
                <a:srgbClr val="E6B9B8"/>
              </a:solidFill>
            </a:ln>
          </c:spPr>
          <c:marker>
            <c:spPr>
              <a:solidFill>
                <a:srgbClr val="E6B9B8"/>
              </a:solidFill>
              <a:ln>
                <a:solidFill>
                  <a:srgbClr val="E6B9B8"/>
                </a:solidFill>
              </a:ln>
            </c:spPr>
          </c:marker>
          <c:cat>
            <c:strRef>
              <c:f>'Cell Type'!$I$5:$I$10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'Cell Type'!$M$5:$M$10</c:f>
              <c:numCache>
                <c:formatCode>0.00</c:formatCode>
                <c:ptCount val="6"/>
                <c:pt idx="0">
                  <c:v>0.5545</c:v>
                </c:pt>
                <c:pt idx="1">
                  <c:v>0.563</c:v>
                </c:pt>
                <c:pt idx="2">
                  <c:v>0.5685</c:v>
                </c:pt>
                <c:pt idx="3">
                  <c:v>0.56</c:v>
                </c:pt>
                <c:pt idx="4">
                  <c:v>0.5595</c:v>
                </c:pt>
                <c:pt idx="5">
                  <c:v>0.568</c:v>
                </c:pt>
              </c:numCache>
            </c:numRef>
          </c:val>
          <c:smooth val="0"/>
        </c:ser>
        <c:ser>
          <c:idx val="10"/>
          <c:order val="1"/>
          <c:tx>
            <c:strRef>
              <c:f>'Cell Type'!$N$4</c:f>
              <c:strCache>
                <c:ptCount val="1"/>
                <c:pt idx="0">
                  <c:v>LSTM - avg acc</c:v>
                </c:pt>
              </c:strCache>
            </c:strRef>
          </c:tx>
          <c:spPr>
            <a:ln>
              <a:solidFill>
                <a:srgbClr val="C0504D"/>
              </a:solidFill>
            </a:ln>
          </c:spPr>
          <c:marker>
            <c:spPr>
              <a:solidFill>
                <a:srgbClr val="C0504D"/>
              </a:solidFill>
              <a:ln>
                <a:solidFill>
                  <a:srgbClr val="C0504D"/>
                </a:solidFill>
              </a:ln>
            </c:spPr>
          </c:marker>
          <c:cat>
            <c:strRef>
              <c:f>'Cell Type'!$I$5:$I$10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'Cell Type'!$N$5:$N$10</c:f>
              <c:numCache>
                <c:formatCode>0.00</c:formatCode>
                <c:ptCount val="6"/>
                <c:pt idx="0">
                  <c:v>0.521708333333333</c:v>
                </c:pt>
                <c:pt idx="1">
                  <c:v>0.529694444444444</c:v>
                </c:pt>
                <c:pt idx="2">
                  <c:v>0.536083333333333</c:v>
                </c:pt>
                <c:pt idx="3">
                  <c:v>0.534402777777778</c:v>
                </c:pt>
                <c:pt idx="4">
                  <c:v>0.534180555555556</c:v>
                </c:pt>
                <c:pt idx="5">
                  <c:v>0.536111111111111</c:v>
                </c:pt>
              </c:numCache>
            </c:numRef>
          </c:val>
          <c:smooth val="0"/>
        </c:ser>
        <c:ser>
          <c:idx val="11"/>
          <c:order val="2"/>
          <c:tx>
            <c:strRef>
              <c:f>'Cell Type'!$O$4</c:f>
              <c:strCache>
                <c:ptCount val="1"/>
                <c:pt idx="0">
                  <c:v>LSTM - min acc</c:v>
                </c:pt>
              </c:strCache>
            </c:strRef>
          </c:tx>
          <c:spPr>
            <a:ln>
              <a:solidFill>
                <a:schemeClr val="accent2">
                  <a:lumMod val="20000"/>
                  <a:lumOff val="80000"/>
                </a:schemeClr>
              </a:solidFill>
            </a:ln>
          </c:spPr>
          <c:marker>
            <c:spPr>
              <a:solidFill>
                <a:schemeClr val="accent2">
                  <a:lumMod val="20000"/>
                  <a:lumOff val="80000"/>
                </a:schemeClr>
              </a:solidFill>
              <a:ln>
                <a:solidFill>
                  <a:schemeClr val="accent2">
                    <a:lumMod val="20000"/>
                    <a:lumOff val="80000"/>
                  </a:schemeClr>
                </a:solidFill>
              </a:ln>
            </c:spPr>
          </c:marker>
          <c:cat>
            <c:strRef>
              <c:f>'Cell Type'!$I$5:$I$10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'Cell Type'!$O$5:$O$10</c:f>
              <c:numCache>
                <c:formatCode>0.00</c:formatCode>
                <c:ptCount val="6"/>
                <c:pt idx="0">
                  <c:v>0.488</c:v>
                </c:pt>
                <c:pt idx="1">
                  <c:v>0.5095</c:v>
                </c:pt>
                <c:pt idx="2">
                  <c:v>0.504</c:v>
                </c:pt>
                <c:pt idx="3">
                  <c:v>0.4945</c:v>
                </c:pt>
                <c:pt idx="4">
                  <c:v>0.489</c:v>
                </c:pt>
                <c:pt idx="5">
                  <c:v>0.505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'Cell Type'!$S$4</c:f>
              <c:strCache>
                <c:ptCount val="1"/>
                <c:pt idx="0">
                  <c:v>GRU - max of acc</c:v>
                </c:pt>
              </c:strCache>
            </c:strRef>
          </c:tx>
          <c:spPr>
            <a:ln>
              <a:solidFill>
                <a:srgbClr val="C6D9F1"/>
              </a:solidFill>
            </a:ln>
          </c:spPr>
          <c:marker>
            <c:spPr>
              <a:solidFill>
                <a:srgbClr val="C6D9F1"/>
              </a:solidFill>
              <a:ln>
                <a:solidFill>
                  <a:srgbClr val="C6D9F1"/>
                </a:solidFill>
              </a:ln>
            </c:spPr>
          </c:marker>
          <c:cat>
            <c:strRef>
              <c:f>'Cell Type'!$I$5:$I$10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'Cell Type'!$S$5:$S$10</c:f>
              <c:numCache>
                <c:formatCode>0.00</c:formatCode>
                <c:ptCount val="6"/>
                <c:pt idx="0">
                  <c:v>0.559</c:v>
                </c:pt>
                <c:pt idx="1">
                  <c:v>0.566</c:v>
                </c:pt>
                <c:pt idx="2">
                  <c:v>0.5615</c:v>
                </c:pt>
                <c:pt idx="3">
                  <c:v>0.5735</c:v>
                </c:pt>
                <c:pt idx="4">
                  <c:v>0.5605</c:v>
                </c:pt>
                <c:pt idx="5">
                  <c:v>0.567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'Cell Type'!$T$4</c:f>
              <c:strCache>
                <c:ptCount val="1"/>
                <c:pt idx="0">
                  <c:v>GRU - avg acc</c:v>
                </c:pt>
              </c:strCache>
            </c:strRef>
          </c:tx>
          <c:spPr>
            <a:ln>
              <a:solidFill>
                <a:srgbClr val="4F81BD"/>
              </a:solidFill>
            </a:ln>
          </c:spPr>
          <c:marker>
            <c:spPr>
              <a:solidFill>
                <a:srgbClr val="4F81BD"/>
              </a:solidFill>
              <a:ln>
                <a:solidFill>
                  <a:srgbClr val="4F81BD"/>
                </a:solidFill>
              </a:ln>
            </c:spPr>
          </c:marker>
          <c:cat>
            <c:strRef>
              <c:f>'Cell Type'!$I$5:$I$10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'Cell Type'!$T$5:$T$10</c:f>
              <c:numCache>
                <c:formatCode>0.00</c:formatCode>
                <c:ptCount val="6"/>
                <c:pt idx="0">
                  <c:v>0.534708333333334</c:v>
                </c:pt>
                <c:pt idx="1">
                  <c:v>0.534</c:v>
                </c:pt>
                <c:pt idx="2">
                  <c:v>0.53675</c:v>
                </c:pt>
                <c:pt idx="3">
                  <c:v>0.537944444444444</c:v>
                </c:pt>
                <c:pt idx="4">
                  <c:v>0.536208333333333</c:v>
                </c:pt>
                <c:pt idx="5">
                  <c:v>0.536611111111111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'Cell Type'!$U$4</c:f>
              <c:strCache>
                <c:ptCount val="1"/>
                <c:pt idx="0">
                  <c:v>GRU - min acc</c:v>
                </c:pt>
              </c:strCache>
            </c:strRef>
          </c:tx>
          <c:spPr>
            <a:ln>
              <a:solidFill>
                <a:srgbClr val="DCE6F2"/>
              </a:solidFill>
            </a:ln>
          </c:spPr>
          <c:marker>
            <c:spPr>
              <a:solidFill>
                <a:srgbClr val="DCE6F2"/>
              </a:solidFill>
              <a:ln>
                <a:solidFill>
                  <a:srgbClr val="DCE6F2"/>
                </a:solidFill>
              </a:ln>
            </c:spPr>
          </c:marker>
          <c:cat>
            <c:strRef>
              <c:f>'Cell Type'!$I$5:$I$10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'Cell Type'!$U$5:$U$10</c:f>
              <c:numCache>
                <c:formatCode>0.00</c:formatCode>
                <c:ptCount val="6"/>
                <c:pt idx="0">
                  <c:v>0.5075</c:v>
                </c:pt>
                <c:pt idx="1">
                  <c:v>0.496</c:v>
                </c:pt>
                <c:pt idx="2">
                  <c:v>0.4945</c:v>
                </c:pt>
                <c:pt idx="3">
                  <c:v>0.501</c:v>
                </c:pt>
                <c:pt idx="4">
                  <c:v>0.492</c:v>
                </c:pt>
                <c:pt idx="5">
                  <c:v>0.499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6356440"/>
        <c:axId val="2126361464"/>
      </c:lineChart>
      <c:catAx>
        <c:axId val="2126356440"/>
        <c:scaling>
          <c:orientation val="minMax"/>
        </c:scaling>
        <c:delete val="0"/>
        <c:axPos val="b"/>
        <c:majorTickMark val="out"/>
        <c:minorTickMark val="none"/>
        <c:tickLblPos val="nextTo"/>
        <c:crossAx val="2126361464"/>
        <c:crosses val="autoZero"/>
        <c:auto val="1"/>
        <c:lblAlgn val="ctr"/>
        <c:lblOffset val="100"/>
        <c:noMultiLvlLbl val="0"/>
      </c:catAx>
      <c:valAx>
        <c:axId val="2126361464"/>
        <c:scaling>
          <c:orientation val="minMax"/>
          <c:min val="0.46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26356440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Loss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Multilayer!$J$4</c:f>
              <c:strCache>
                <c:ptCount val="1"/>
                <c:pt idx="0">
                  <c:v>FALSE - max loss</c:v>
                </c:pt>
              </c:strCache>
            </c:strRef>
          </c:tx>
          <c:spPr>
            <a:ln>
              <a:solidFill>
                <a:schemeClr val="accent2">
                  <a:lumMod val="40000"/>
                  <a:lumOff val="60000"/>
                </a:schemeClr>
              </a:solidFill>
            </a:ln>
          </c:spPr>
          <c:marker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40000"/>
                    <a:lumOff val="60000"/>
                  </a:schemeClr>
                </a:solidFill>
              </a:ln>
            </c:spPr>
          </c:marker>
          <c:cat>
            <c:strRef>
              <c:f>Multilayer!$I$5:$I$10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Multilayer!$J$5:$J$10</c:f>
              <c:numCache>
                <c:formatCode>0.00</c:formatCode>
                <c:ptCount val="6"/>
                <c:pt idx="0">
                  <c:v>2.3136</c:v>
                </c:pt>
                <c:pt idx="1">
                  <c:v>2.4002</c:v>
                </c:pt>
                <c:pt idx="2">
                  <c:v>2.3825</c:v>
                </c:pt>
                <c:pt idx="3">
                  <c:v>2.5338</c:v>
                </c:pt>
                <c:pt idx="4">
                  <c:v>2.516</c:v>
                </c:pt>
                <c:pt idx="5">
                  <c:v>2.6053</c:v>
                </c:pt>
              </c:numCache>
            </c:numRef>
          </c:val>
          <c:smooth val="0"/>
        </c:ser>
        <c:ser>
          <c:idx val="7"/>
          <c:order val="1"/>
          <c:tx>
            <c:strRef>
              <c:f>Multilayer!$K$4</c:f>
              <c:strCache>
                <c:ptCount val="1"/>
                <c:pt idx="0">
                  <c:v>FALSE - avg loss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cat>
            <c:strRef>
              <c:f>Multilayer!$I$5:$I$10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Multilayer!$K$5:$K$10</c:f>
              <c:numCache>
                <c:formatCode>0.00</c:formatCode>
                <c:ptCount val="6"/>
                <c:pt idx="0">
                  <c:v>1.926302777777778</c:v>
                </c:pt>
                <c:pt idx="1">
                  <c:v>1.938497222222222</c:v>
                </c:pt>
                <c:pt idx="2">
                  <c:v>1.948391666666666</c:v>
                </c:pt>
                <c:pt idx="3">
                  <c:v>1.983175</c:v>
                </c:pt>
                <c:pt idx="4">
                  <c:v>2.014669444444444</c:v>
                </c:pt>
                <c:pt idx="5">
                  <c:v>2.036211111111111</c:v>
                </c:pt>
              </c:numCache>
            </c:numRef>
          </c:val>
          <c:smooth val="0"/>
        </c:ser>
        <c:ser>
          <c:idx val="8"/>
          <c:order val="2"/>
          <c:tx>
            <c:strRef>
              <c:f>Multilayer!$L$4</c:f>
              <c:strCache>
                <c:ptCount val="1"/>
                <c:pt idx="0">
                  <c:v>FALSE - min loss</c:v>
                </c:pt>
              </c:strCache>
            </c:strRef>
          </c:tx>
          <c:spPr>
            <a:ln>
              <a:solidFill>
                <a:schemeClr val="accent2">
                  <a:lumMod val="20000"/>
                  <a:lumOff val="80000"/>
                </a:schemeClr>
              </a:solidFill>
            </a:ln>
          </c:spPr>
          <c:marker>
            <c:spPr>
              <a:solidFill>
                <a:schemeClr val="accent2">
                  <a:lumMod val="20000"/>
                  <a:lumOff val="80000"/>
                </a:schemeClr>
              </a:solidFill>
              <a:ln>
                <a:solidFill>
                  <a:schemeClr val="accent2">
                    <a:lumMod val="20000"/>
                    <a:lumOff val="80000"/>
                  </a:schemeClr>
                </a:solidFill>
              </a:ln>
            </c:spPr>
          </c:marker>
          <c:cat>
            <c:strRef>
              <c:f>Multilayer!$I$5:$I$10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Multilayer!$L$5:$L$10</c:f>
              <c:numCache>
                <c:formatCode>0.00</c:formatCode>
                <c:ptCount val="6"/>
                <c:pt idx="0">
                  <c:v>1.6588</c:v>
                </c:pt>
                <c:pt idx="1">
                  <c:v>1.6237</c:v>
                </c:pt>
                <c:pt idx="2">
                  <c:v>1.6083</c:v>
                </c:pt>
                <c:pt idx="3">
                  <c:v>1.6688</c:v>
                </c:pt>
                <c:pt idx="4">
                  <c:v>1.626</c:v>
                </c:pt>
                <c:pt idx="5">
                  <c:v>1.6587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Multilayer!$P$4</c:f>
              <c:strCache>
                <c:ptCount val="1"/>
                <c:pt idx="0">
                  <c:v>TRUE - max loss</c:v>
                </c:pt>
              </c:strCache>
            </c:strRef>
          </c:tx>
          <c:spPr>
            <a:ln>
              <a:solidFill>
                <a:schemeClr val="tx2">
                  <a:lumMod val="20000"/>
                  <a:lumOff val="80000"/>
                </a:schemeClr>
              </a:solidFill>
            </a:ln>
          </c:spPr>
          <c:marker>
            <c:spPr>
              <a:solidFill>
                <a:schemeClr val="tx2">
                  <a:lumMod val="20000"/>
                  <a:lumOff val="80000"/>
                </a:schemeClr>
              </a:solidFill>
              <a:ln>
                <a:solidFill>
                  <a:schemeClr val="tx2">
                    <a:lumMod val="20000"/>
                    <a:lumOff val="80000"/>
                  </a:schemeClr>
                </a:solidFill>
              </a:ln>
            </c:spPr>
          </c:marker>
          <c:cat>
            <c:strRef>
              <c:f>Multilayer!$I$5:$I$10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Multilayer!$P$5:$P$10</c:f>
              <c:numCache>
                <c:formatCode>0.00</c:formatCode>
                <c:ptCount val="6"/>
                <c:pt idx="0">
                  <c:v>2.2813</c:v>
                </c:pt>
                <c:pt idx="1">
                  <c:v>2.4166</c:v>
                </c:pt>
                <c:pt idx="2">
                  <c:v>2.4243</c:v>
                </c:pt>
                <c:pt idx="3">
                  <c:v>2.4975</c:v>
                </c:pt>
                <c:pt idx="4">
                  <c:v>2.4559</c:v>
                </c:pt>
                <c:pt idx="5">
                  <c:v>2.4912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Multilayer!$Q$4</c:f>
              <c:strCache>
                <c:ptCount val="1"/>
                <c:pt idx="0">
                  <c:v>TRUE - avg loss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cat>
            <c:strRef>
              <c:f>Multilayer!$I$5:$I$10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Multilayer!$Q$5:$Q$10</c:f>
              <c:numCache>
                <c:formatCode>0.00</c:formatCode>
                <c:ptCount val="6"/>
                <c:pt idx="0">
                  <c:v>1.921008571428572</c:v>
                </c:pt>
                <c:pt idx="1">
                  <c:v>1.931637142857143</c:v>
                </c:pt>
                <c:pt idx="2">
                  <c:v>1.956022857142857</c:v>
                </c:pt>
                <c:pt idx="3">
                  <c:v>1.983299999999999</c:v>
                </c:pt>
                <c:pt idx="4">
                  <c:v>2.022971428571429</c:v>
                </c:pt>
                <c:pt idx="5">
                  <c:v>2.023288571428572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Multilayer!$R$4</c:f>
              <c:strCache>
                <c:ptCount val="1"/>
                <c:pt idx="0">
                  <c:v>TRUE - min loss</c:v>
                </c:pt>
              </c:strCache>
            </c:strRef>
          </c:tx>
          <c:spPr>
            <a:ln>
              <a:solidFill>
                <a:schemeClr val="accent1">
                  <a:lumMod val="20000"/>
                  <a:lumOff val="80000"/>
                </a:schemeClr>
              </a:solidFill>
            </a:ln>
          </c:spPr>
          <c:marker>
            <c:spPr>
              <a:solidFill>
                <a:schemeClr val="accent1">
                  <a:lumMod val="20000"/>
                  <a:lumOff val="80000"/>
                </a:schemeClr>
              </a:solidFill>
              <a:ln>
                <a:solidFill>
                  <a:schemeClr val="accent1">
                    <a:lumMod val="20000"/>
                    <a:lumOff val="80000"/>
                  </a:schemeClr>
                </a:solidFill>
              </a:ln>
            </c:spPr>
          </c:marker>
          <c:cat>
            <c:strRef>
              <c:f>Multilayer!$I$5:$I$10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Multilayer!$R$5:$R$10</c:f>
              <c:numCache>
                <c:formatCode>0.00</c:formatCode>
                <c:ptCount val="6"/>
                <c:pt idx="0">
                  <c:v>1.663</c:v>
                </c:pt>
                <c:pt idx="1">
                  <c:v>1.6788</c:v>
                </c:pt>
                <c:pt idx="2">
                  <c:v>1.7305</c:v>
                </c:pt>
                <c:pt idx="3">
                  <c:v>1.7482</c:v>
                </c:pt>
                <c:pt idx="4">
                  <c:v>1.7253</c:v>
                </c:pt>
                <c:pt idx="5">
                  <c:v>1.7125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023112"/>
        <c:axId val="2123028008"/>
      </c:lineChart>
      <c:catAx>
        <c:axId val="2123023112"/>
        <c:scaling>
          <c:orientation val="minMax"/>
        </c:scaling>
        <c:delete val="0"/>
        <c:axPos val="b"/>
        <c:majorTickMark val="out"/>
        <c:minorTickMark val="none"/>
        <c:tickLblPos val="nextTo"/>
        <c:crossAx val="2123028008"/>
        <c:crosses val="autoZero"/>
        <c:auto val="1"/>
        <c:lblAlgn val="ctr"/>
        <c:lblOffset val="100"/>
        <c:noMultiLvlLbl val="0"/>
      </c:catAx>
      <c:valAx>
        <c:axId val="2123028008"/>
        <c:scaling>
          <c:orientation val="minMax"/>
          <c:min val="1.5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230231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Accuracy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9"/>
          <c:order val="0"/>
          <c:tx>
            <c:strRef>
              <c:f>Multilayer!$M$4</c:f>
              <c:strCache>
                <c:ptCount val="1"/>
                <c:pt idx="0">
                  <c:v>FALSE - max of acc</c:v>
                </c:pt>
              </c:strCache>
            </c:strRef>
          </c:tx>
          <c:spPr>
            <a:ln>
              <a:solidFill>
                <a:srgbClr val="E6B9B8"/>
              </a:solidFill>
            </a:ln>
          </c:spPr>
          <c:marker>
            <c:spPr>
              <a:solidFill>
                <a:srgbClr val="E6B9B8"/>
              </a:solidFill>
              <a:ln>
                <a:solidFill>
                  <a:srgbClr val="E6B9B8"/>
                </a:solidFill>
              </a:ln>
            </c:spPr>
          </c:marker>
          <c:cat>
            <c:strRef>
              <c:f>Multilayer!$I$5:$I$10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Multilayer!$M$5:$M$10</c:f>
              <c:numCache>
                <c:formatCode>0.00</c:formatCode>
                <c:ptCount val="6"/>
                <c:pt idx="0">
                  <c:v>0.5545</c:v>
                </c:pt>
                <c:pt idx="1">
                  <c:v>0.563</c:v>
                </c:pt>
                <c:pt idx="2">
                  <c:v>0.5685</c:v>
                </c:pt>
                <c:pt idx="3">
                  <c:v>0.56</c:v>
                </c:pt>
                <c:pt idx="4">
                  <c:v>0.5595</c:v>
                </c:pt>
                <c:pt idx="5">
                  <c:v>0.568</c:v>
                </c:pt>
              </c:numCache>
            </c:numRef>
          </c:val>
          <c:smooth val="0"/>
        </c:ser>
        <c:ser>
          <c:idx val="10"/>
          <c:order val="1"/>
          <c:tx>
            <c:strRef>
              <c:f>Multilayer!$N$4</c:f>
              <c:strCache>
                <c:ptCount val="1"/>
                <c:pt idx="0">
                  <c:v>FALSE - avg acc</c:v>
                </c:pt>
              </c:strCache>
            </c:strRef>
          </c:tx>
          <c:spPr>
            <a:ln>
              <a:solidFill>
                <a:srgbClr val="C0504D"/>
              </a:solidFill>
            </a:ln>
          </c:spPr>
          <c:marker>
            <c:spPr>
              <a:solidFill>
                <a:srgbClr val="C0504D"/>
              </a:solidFill>
              <a:ln>
                <a:solidFill>
                  <a:srgbClr val="C0504D"/>
                </a:solidFill>
              </a:ln>
            </c:spPr>
          </c:marker>
          <c:cat>
            <c:strRef>
              <c:f>Multilayer!$I$5:$I$10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Multilayer!$N$5:$N$10</c:f>
              <c:numCache>
                <c:formatCode>0.00</c:formatCode>
                <c:ptCount val="6"/>
                <c:pt idx="0">
                  <c:v>0.521708333333333</c:v>
                </c:pt>
                <c:pt idx="1">
                  <c:v>0.529694444444444</c:v>
                </c:pt>
                <c:pt idx="2">
                  <c:v>0.536083333333333</c:v>
                </c:pt>
                <c:pt idx="3">
                  <c:v>0.534402777777778</c:v>
                </c:pt>
                <c:pt idx="4">
                  <c:v>0.534180555555556</c:v>
                </c:pt>
                <c:pt idx="5">
                  <c:v>0.536111111111111</c:v>
                </c:pt>
              </c:numCache>
            </c:numRef>
          </c:val>
          <c:smooth val="0"/>
        </c:ser>
        <c:ser>
          <c:idx val="11"/>
          <c:order val="2"/>
          <c:tx>
            <c:strRef>
              <c:f>Multilayer!$O$4</c:f>
              <c:strCache>
                <c:ptCount val="1"/>
                <c:pt idx="0">
                  <c:v>FALSE - min acc</c:v>
                </c:pt>
              </c:strCache>
            </c:strRef>
          </c:tx>
          <c:spPr>
            <a:ln>
              <a:solidFill>
                <a:schemeClr val="accent2">
                  <a:lumMod val="20000"/>
                  <a:lumOff val="80000"/>
                </a:schemeClr>
              </a:solidFill>
            </a:ln>
          </c:spPr>
          <c:marker>
            <c:spPr>
              <a:solidFill>
                <a:schemeClr val="accent2">
                  <a:lumMod val="20000"/>
                  <a:lumOff val="80000"/>
                </a:schemeClr>
              </a:solidFill>
              <a:ln>
                <a:solidFill>
                  <a:schemeClr val="accent2">
                    <a:lumMod val="20000"/>
                    <a:lumOff val="80000"/>
                  </a:schemeClr>
                </a:solidFill>
              </a:ln>
            </c:spPr>
          </c:marker>
          <c:cat>
            <c:strRef>
              <c:f>Multilayer!$I$5:$I$10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Multilayer!$O$5:$O$10</c:f>
              <c:numCache>
                <c:formatCode>0.00</c:formatCode>
                <c:ptCount val="6"/>
                <c:pt idx="0">
                  <c:v>0.488</c:v>
                </c:pt>
                <c:pt idx="1">
                  <c:v>0.5095</c:v>
                </c:pt>
                <c:pt idx="2">
                  <c:v>0.504</c:v>
                </c:pt>
                <c:pt idx="3">
                  <c:v>0.4945</c:v>
                </c:pt>
                <c:pt idx="4">
                  <c:v>0.489</c:v>
                </c:pt>
                <c:pt idx="5">
                  <c:v>0.505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Multilayer!$S$4</c:f>
              <c:strCache>
                <c:ptCount val="1"/>
                <c:pt idx="0">
                  <c:v>TRUE - max of acc</c:v>
                </c:pt>
              </c:strCache>
            </c:strRef>
          </c:tx>
          <c:spPr>
            <a:ln>
              <a:solidFill>
                <a:srgbClr val="C6D9F1"/>
              </a:solidFill>
            </a:ln>
          </c:spPr>
          <c:marker>
            <c:spPr>
              <a:solidFill>
                <a:srgbClr val="C6D9F1"/>
              </a:solidFill>
              <a:ln>
                <a:solidFill>
                  <a:srgbClr val="C6D9F1"/>
                </a:solidFill>
              </a:ln>
            </c:spPr>
          </c:marker>
          <c:cat>
            <c:strRef>
              <c:f>Multilayer!$I$5:$I$10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Multilayer!$S$5:$S$10</c:f>
              <c:numCache>
                <c:formatCode>0.00</c:formatCode>
                <c:ptCount val="6"/>
                <c:pt idx="0">
                  <c:v>0.5475</c:v>
                </c:pt>
                <c:pt idx="1">
                  <c:v>0.567</c:v>
                </c:pt>
                <c:pt idx="2">
                  <c:v>0.552</c:v>
                </c:pt>
                <c:pt idx="3">
                  <c:v>0.5445</c:v>
                </c:pt>
                <c:pt idx="4">
                  <c:v>0.5495</c:v>
                </c:pt>
                <c:pt idx="5">
                  <c:v>0.5505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Multilayer!$T$4</c:f>
              <c:strCache>
                <c:ptCount val="1"/>
                <c:pt idx="0">
                  <c:v>TRUE - avg acc</c:v>
                </c:pt>
              </c:strCache>
            </c:strRef>
          </c:tx>
          <c:spPr>
            <a:ln>
              <a:solidFill>
                <a:srgbClr val="4F81BD"/>
              </a:solidFill>
            </a:ln>
          </c:spPr>
          <c:marker>
            <c:spPr>
              <a:solidFill>
                <a:srgbClr val="4F81BD"/>
              </a:solidFill>
              <a:ln>
                <a:solidFill>
                  <a:srgbClr val="4F81BD"/>
                </a:solidFill>
              </a:ln>
            </c:spPr>
          </c:marker>
          <c:cat>
            <c:strRef>
              <c:f>Multilayer!$I$5:$I$10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Multilayer!$T$5:$T$10</c:f>
              <c:numCache>
                <c:formatCode>0.00</c:formatCode>
                <c:ptCount val="6"/>
                <c:pt idx="0">
                  <c:v>0.516614285714286</c:v>
                </c:pt>
                <c:pt idx="1">
                  <c:v>0.522114285714286</c:v>
                </c:pt>
                <c:pt idx="2">
                  <c:v>0.522128571428571</c:v>
                </c:pt>
                <c:pt idx="3">
                  <c:v>0.521885714285714</c:v>
                </c:pt>
                <c:pt idx="4">
                  <c:v>0.522514285714286</c:v>
                </c:pt>
                <c:pt idx="5">
                  <c:v>0.523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Multilayer!$U$4</c:f>
              <c:strCache>
                <c:ptCount val="1"/>
                <c:pt idx="0">
                  <c:v>TRUE - min acc</c:v>
                </c:pt>
              </c:strCache>
            </c:strRef>
          </c:tx>
          <c:spPr>
            <a:ln>
              <a:solidFill>
                <a:srgbClr val="DCE6F2"/>
              </a:solidFill>
            </a:ln>
          </c:spPr>
          <c:marker>
            <c:spPr>
              <a:solidFill>
                <a:srgbClr val="DCE6F2"/>
              </a:solidFill>
              <a:ln>
                <a:solidFill>
                  <a:srgbClr val="DCE6F2"/>
                </a:solidFill>
              </a:ln>
            </c:spPr>
          </c:marker>
          <c:cat>
            <c:strRef>
              <c:f>Multilayer!$I$5:$I$10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Multilayer!$U$5:$U$10</c:f>
              <c:numCache>
                <c:formatCode>0.00</c:formatCode>
                <c:ptCount val="6"/>
                <c:pt idx="0">
                  <c:v>0.4845</c:v>
                </c:pt>
                <c:pt idx="1">
                  <c:v>0.492</c:v>
                </c:pt>
                <c:pt idx="2">
                  <c:v>0.485</c:v>
                </c:pt>
                <c:pt idx="3">
                  <c:v>0.4715</c:v>
                </c:pt>
                <c:pt idx="4">
                  <c:v>0.494</c:v>
                </c:pt>
                <c:pt idx="5">
                  <c:v>0.489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728520"/>
        <c:axId val="2125723640"/>
      </c:lineChart>
      <c:catAx>
        <c:axId val="2125728520"/>
        <c:scaling>
          <c:orientation val="minMax"/>
        </c:scaling>
        <c:delete val="0"/>
        <c:axPos val="b"/>
        <c:majorTickMark val="out"/>
        <c:minorTickMark val="none"/>
        <c:tickLblPos val="nextTo"/>
        <c:crossAx val="2125723640"/>
        <c:crosses val="autoZero"/>
        <c:auto val="1"/>
        <c:lblAlgn val="ctr"/>
        <c:lblOffset val="100"/>
        <c:noMultiLvlLbl val="0"/>
      </c:catAx>
      <c:valAx>
        <c:axId val="2125723640"/>
        <c:scaling>
          <c:orientation val="minMax"/>
          <c:min val="0.46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257285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Loss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Input!$J$4</c:f>
              <c:strCache>
                <c:ptCount val="1"/>
                <c:pt idx="0">
                  <c:v>0.1 - max loss</c:v>
                </c:pt>
              </c:strCache>
            </c:strRef>
          </c:tx>
          <c:spPr>
            <a:ln>
              <a:solidFill>
                <a:schemeClr val="tx2">
                  <a:lumMod val="20000"/>
                  <a:lumOff val="80000"/>
                </a:schemeClr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20000"/>
                  <a:lumOff val="80000"/>
                </a:schemeClr>
              </a:solidFill>
              <a:ln>
                <a:solidFill>
                  <a:schemeClr val="tx2">
                    <a:lumMod val="20000"/>
                    <a:lumOff val="80000"/>
                  </a:schemeClr>
                </a:solidFill>
              </a:ln>
            </c:spPr>
          </c:marker>
          <c:cat>
            <c:strRef>
              <c:f>Input!$I$5:$I$10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Input!$J$5:$J$10</c:f>
              <c:numCache>
                <c:formatCode>0.00</c:formatCode>
                <c:ptCount val="6"/>
                <c:pt idx="0">
                  <c:v>2.3136</c:v>
                </c:pt>
                <c:pt idx="1">
                  <c:v>2.4166</c:v>
                </c:pt>
                <c:pt idx="2">
                  <c:v>2.4243</c:v>
                </c:pt>
                <c:pt idx="3">
                  <c:v>2.5338</c:v>
                </c:pt>
                <c:pt idx="4">
                  <c:v>2.516</c:v>
                </c:pt>
                <c:pt idx="5">
                  <c:v>2.6053</c:v>
                </c:pt>
              </c:numCache>
            </c:numRef>
          </c:val>
          <c:smooth val="0"/>
        </c:ser>
        <c:ser>
          <c:idx val="7"/>
          <c:order val="1"/>
          <c:tx>
            <c:strRef>
              <c:f>Input!$K$4</c:f>
              <c:strCache>
                <c:ptCount val="1"/>
                <c:pt idx="0">
                  <c:v>0.1 - avg loss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9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cat>
            <c:strRef>
              <c:f>Input!$I$5:$I$10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Input!$K$5:$K$10</c:f>
              <c:numCache>
                <c:formatCode>0.00</c:formatCode>
                <c:ptCount val="6"/>
                <c:pt idx="0">
                  <c:v>1.964105555555556</c:v>
                </c:pt>
                <c:pt idx="1">
                  <c:v>2.013711111111112</c:v>
                </c:pt>
                <c:pt idx="2">
                  <c:v>2.018916666666668</c:v>
                </c:pt>
                <c:pt idx="3">
                  <c:v>2.064358333333333</c:v>
                </c:pt>
                <c:pt idx="4">
                  <c:v>2.093919444444444</c:v>
                </c:pt>
                <c:pt idx="5">
                  <c:v>2.128022222222222</c:v>
                </c:pt>
              </c:numCache>
            </c:numRef>
          </c:val>
          <c:smooth val="0"/>
        </c:ser>
        <c:ser>
          <c:idx val="8"/>
          <c:order val="2"/>
          <c:tx>
            <c:strRef>
              <c:f>Input!$L$4</c:f>
              <c:strCache>
                <c:ptCount val="1"/>
                <c:pt idx="0">
                  <c:v>0.1 - min loss</c:v>
                </c:pt>
              </c:strCache>
            </c:strRef>
          </c:tx>
          <c:spPr>
            <a:ln>
              <a:solidFill>
                <a:schemeClr val="accent1">
                  <a:lumMod val="40000"/>
                  <a:lumOff val="60000"/>
                </a:schemeClr>
              </a:solidFill>
            </a:ln>
          </c:spPr>
          <c:marker>
            <c:symbol val="circle"/>
            <c:size val="9"/>
            <c:spPr>
              <a:solidFill>
                <a:schemeClr val="accent1">
                  <a:lumMod val="40000"/>
                  <a:lumOff val="60000"/>
                </a:schemeClr>
              </a:solidFill>
              <a:ln>
                <a:solidFill>
                  <a:schemeClr val="accent1">
                    <a:lumMod val="40000"/>
                    <a:lumOff val="60000"/>
                  </a:schemeClr>
                </a:solidFill>
              </a:ln>
            </c:spPr>
          </c:marker>
          <c:cat>
            <c:strRef>
              <c:f>Input!$I$5:$I$10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Input!$L$5:$L$10</c:f>
              <c:numCache>
                <c:formatCode>0.00</c:formatCode>
                <c:ptCount val="6"/>
                <c:pt idx="0">
                  <c:v>1.6056</c:v>
                </c:pt>
                <c:pt idx="1">
                  <c:v>1.6798</c:v>
                </c:pt>
                <c:pt idx="2">
                  <c:v>1.6528</c:v>
                </c:pt>
                <c:pt idx="3">
                  <c:v>1.6809</c:v>
                </c:pt>
                <c:pt idx="4">
                  <c:v>1.6898</c:v>
                </c:pt>
                <c:pt idx="5">
                  <c:v>1.7183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Input!$P$4</c:f>
              <c:strCache>
                <c:ptCount val="1"/>
                <c:pt idx="0">
                  <c:v>0.3 - max loss</c:v>
                </c:pt>
              </c:strCache>
            </c:strRef>
          </c:tx>
          <c:spPr>
            <a:ln>
              <a:solidFill>
                <a:schemeClr val="accent2">
                  <a:lumMod val="20000"/>
                  <a:lumOff val="80000"/>
                </a:schemeClr>
              </a:solidFill>
            </a:ln>
          </c:spPr>
          <c:marker>
            <c:symbol val="triangle"/>
            <c:size val="9"/>
            <c:spPr>
              <a:solidFill>
                <a:schemeClr val="accent2">
                  <a:lumMod val="20000"/>
                  <a:lumOff val="80000"/>
                </a:schemeClr>
              </a:solidFill>
              <a:ln>
                <a:solidFill>
                  <a:schemeClr val="accent2">
                    <a:lumMod val="20000"/>
                    <a:lumOff val="80000"/>
                  </a:schemeClr>
                </a:solidFill>
              </a:ln>
            </c:spPr>
          </c:marker>
          <c:cat>
            <c:strRef>
              <c:f>Input!$I$5:$I$10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Input!$P$5:$P$10</c:f>
              <c:numCache>
                <c:formatCode>0.00</c:formatCode>
                <c:ptCount val="6"/>
                <c:pt idx="0">
                  <c:v>2.1934</c:v>
                </c:pt>
                <c:pt idx="1">
                  <c:v>2.2667</c:v>
                </c:pt>
                <c:pt idx="2">
                  <c:v>2.3366</c:v>
                </c:pt>
                <c:pt idx="3">
                  <c:v>2.3551</c:v>
                </c:pt>
                <c:pt idx="4">
                  <c:v>2.4828</c:v>
                </c:pt>
                <c:pt idx="5">
                  <c:v>2.3974</c:v>
                </c:pt>
              </c:numCache>
            </c:numRef>
          </c:val>
          <c:smooth val="0"/>
        </c:ser>
        <c:ser>
          <c:idx val="1"/>
          <c:order val="4"/>
          <c:tx>
            <c:strRef>
              <c:f>Input!$Q$4</c:f>
              <c:strCache>
                <c:ptCount val="1"/>
                <c:pt idx="0">
                  <c:v>0.3 - avg loss</c:v>
                </c:pt>
              </c:strCache>
            </c:strRef>
          </c:tx>
          <c:marker>
            <c:symbol val="triangle"/>
            <c:size val="9"/>
          </c:marker>
          <c:cat>
            <c:strRef>
              <c:f>Input!$I$5:$I$10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Input!$Q$5:$Q$10</c:f>
              <c:numCache>
                <c:formatCode>0.00</c:formatCode>
                <c:ptCount val="6"/>
                <c:pt idx="0">
                  <c:v>1.906758333333333</c:v>
                </c:pt>
                <c:pt idx="1">
                  <c:v>1.908508333333333</c:v>
                </c:pt>
                <c:pt idx="2">
                  <c:v>1.948597222222222</c:v>
                </c:pt>
                <c:pt idx="3">
                  <c:v>1.963980555555556</c:v>
                </c:pt>
                <c:pt idx="4">
                  <c:v>2.000036111111111</c:v>
                </c:pt>
                <c:pt idx="5">
                  <c:v>2.021002777777777</c:v>
                </c:pt>
              </c:numCache>
            </c:numRef>
          </c:val>
          <c:smooth val="0"/>
        </c:ser>
        <c:ser>
          <c:idx val="2"/>
          <c:order val="5"/>
          <c:tx>
            <c:strRef>
              <c:f>Input!$R$4</c:f>
              <c:strCache>
                <c:ptCount val="1"/>
                <c:pt idx="0">
                  <c:v>0.3 - min loss</c:v>
                </c:pt>
              </c:strCache>
            </c:strRef>
          </c:tx>
          <c:spPr>
            <a:ln>
              <a:solidFill>
                <a:schemeClr val="accent2">
                  <a:lumMod val="20000"/>
                  <a:lumOff val="80000"/>
                </a:schemeClr>
              </a:solidFill>
            </a:ln>
          </c:spPr>
          <c:marker>
            <c:spPr>
              <a:solidFill>
                <a:schemeClr val="accent2">
                  <a:lumMod val="20000"/>
                  <a:lumOff val="80000"/>
                </a:schemeClr>
              </a:solidFill>
              <a:ln>
                <a:solidFill>
                  <a:schemeClr val="accent2">
                    <a:lumMod val="20000"/>
                    <a:lumOff val="80000"/>
                  </a:schemeClr>
                </a:solidFill>
              </a:ln>
            </c:spPr>
          </c:marker>
          <c:cat>
            <c:strRef>
              <c:f>Input!$I$5:$I$10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Input!$R$5:$R$10</c:f>
              <c:numCache>
                <c:formatCode>0.00</c:formatCode>
                <c:ptCount val="6"/>
                <c:pt idx="0">
                  <c:v>1.6368</c:v>
                </c:pt>
                <c:pt idx="1">
                  <c:v>1.6237</c:v>
                </c:pt>
                <c:pt idx="2">
                  <c:v>1.6526</c:v>
                </c:pt>
                <c:pt idx="3">
                  <c:v>1.6264</c:v>
                </c:pt>
                <c:pt idx="4">
                  <c:v>1.639</c:v>
                </c:pt>
                <c:pt idx="5">
                  <c:v>1.6727</c:v>
                </c:pt>
              </c:numCache>
            </c:numRef>
          </c:val>
          <c:smooth val="0"/>
        </c:ser>
        <c:ser>
          <c:idx val="12"/>
          <c:order val="6"/>
          <c:tx>
            <c:strRef>
              <c:f>Input!$V$4</c:f>
              <c:strCache>
                <c:ptCount val="1"/>
                <c:pt idx="0">
                  <c:v>0.5 - max loss</c:v>
                </c:pt>
              </c:strCache>
            </c:strRef>
          </c:tx>
          <c:spPr>
            <a:ln>
              <a:solidFill>
                <a:schemeClr val="accent3">
                  <a:lumMod val="40000"/>
                  <a:lumOff val="60000"/>
                </a:schemeClr>
              </a:solidFill>
            </a:ln>
          </c:spPr>
          <c:marker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40000"/>
                    <a:lumOff val="60000"/>
                  </a:schemeClr>
                </a:solidFill>
              </a:ln>
            </c:spPr>
          </c:marker>
          <c:cat>
            <c:strRef>
              <c:f>Input!$I$5:$I$10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Input!$V$5:$V$10</c:f>
              <c:numCache>
                <c:formatCode>0.00</c:formatCode>
                <c:ptCount val="6"/>
                <c:pt idx="0">
                  <c:v>2.1118</c:v>
                </c:pt>
                <c:pt idx="1">
                  <c:v>2.1781</c:v>
                </c:pt>
                <c:pt idx="2">
                  <c:v>2.1468</c:v>
                </c:pt>
                <c:pt idx="3">
                  <c:v>2.2451</c:v>
                </c:pt>
                <c:pt idx="4">
                  <c:v>2.3158</c:v>
                </c:pt>
                <c:pt idx="5">
                  <c:v>2.3375</c:v>
                </c:pt>
              </c:numCache>
            </c:numRef>
          </c:val>
          <c:smooth val="0"/>
        </c:ser>
        <c:ser>
          <c:idx val="13"/>
          <c:order val="7"/>
          <c:tx>
            <c:strRef>
              <c:f>Input!$W$4</c:f>
              <c:strCache>
                <c:ptCount val="1"/>
                <c:pt idx="0">
                  <c:v>0.5 - avg loss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cat>
            <c:strRef>
              <c:f>Input!$I$5:$I$10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Input!$W$5:$W$10</c:f>
              <c:numCache>
                <c:formatCode>0.00</c:formatCode>
                <c:ptCount val="6"/>
                <c:pt idx="0">
                  <c:v>1.84556</c:v>
                </c:pt>
                <c:pt idx="1">
                  <c:v>1.855682857142857</c:v>
                </c:pt>
                <c:pt idx="2">
                  <c:v>1.855805714285714</c:v>
                </c:pt>
                <c:pt idx="3">
                  <c:v>1.878945714285714</c:v>
                </c:pt>
                <c:pt idx="4">
                  <c:v>1.915939999999999</c:v>
                </c:pt>
                <c:pt idx="5">
                  <c:v>1.9155</c:v>
                </c:pt>
              </c:numCache>
            </c:numRef>
          </c:val>
          <c:smooth val="0"/>
        </c:ser>
        <c:ser>
          <c:idx val="14"/>
          <c:order val="8"/>
          <c:tx>
            <c:strRef>
              <c:f>Input!$X$4</c:f>
              <c:strCache>
                <c:ptCount val="1"/>
                <c:pt idx="0">
                  <c:v>0.5 - min loss</c:v>
                </c:pt>
              </c:strCache>
            </c:strRef>
          </c:tx>
          <c:marker>
            <c:symbol val="square"/>
            <c:size val="9"/>
          </c:marker>
          <c:cat>
            <c:strRef>
              <c:f>Input!$I$5:$I$10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Input!$X$5:$X$10</c:f>
              <c:numCache>
                <c:formatCode>0.00</c:formatCode>
                <c:ptCount val="6"/>
                <c:pt idx="0">
                  <c:v>1.6545</c:v>
                </c:pt>
                <c:pt idx="1">
                  <c:v>1.6642</c:v>
                </c:pt>
                <c:pt idx="2">
                  <c:v>1.6083</c:v>
                </c:pt>
                <c:pt idx="3">
                  <c:v>1.5973</c:v>
                </c:pt>
                <c:pt idx="4">
                  <c:v>1.626</c:v>
                </c:pt>
                <c:pt idx="5">
                  <c:v>1.6245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6391256"/>
        <c:axId val="2126394232"/>
      </c:lineChart>
      <c:catAx>
        <c:axId val="2126391256"/>
        <c:scaling>
          <c:orientation val="minMax"/>
        </c:scaling>
        <c:delete val="0"/>
        <c:axPos val="b"/>
        <c:majorTickMark val="out"/>
        <c:minorTickMark val="none"/>
        <c:tickLblPos val="nextTo"/>
        <c:crossAx val="2126394232"/>
        <c:crosses val="autoZero"/>
        <c:auto val="1"/>
        <c:lblAlgn val="ctr"/>
        <c:lblOffset val="100"/>
        <c:noMultiLvlLbl val="0"/>
      </c:catAx>
      <c:valAx>
        <c:axId val="2126394232"/>
        <c:scaling>
          <c:orientation val="minMax"/>
          <c:min val="1.4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263912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Accuracy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Input!$M$4</c:f>
              <c:strCache>
                <c:ptCount val="1"/>
                <c:pt idx="0">
                  <c:v>0.1 - max of acc</c:v>
                </c:pt>
              </c:strCache>
            </c:strRef>
          </c:tx>
          <c:spPr>
            <a:ln>
              <a:solidFill>
                <a:srgbClr val="C6D9F1"/>
              </a:solidFill>
            </a:ln>
          </c:spPr>
          <c:marker>
            <c:spPr>
              <a:solidFill>
                <a:srgbClr val="C6D9F1"/>
              </a:solidFill>
              <a:ln>
                <a:solidFill>
                  <a:srgbClr val="C6D9F1"/>
                </a:solidFill>
              </a:ln>
            </c:spPr>
          </c:marker>
          <c:cat>
            <c:strRef>
              <c:f>Input!$I$5:$I$10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Input!$M$5:$M$10</c:f>
              <c:numCache>
                <c:formatCode>0.00</c:formatCode>
                <c:ptCount val="6"/>
                <c:pt idx="0">
                  <c:v>0.5545</c:v>
                </c:pt>
                <c:pt idx="1">
                  <c:v>0.567</c:v>
                </c:pt>
                <c:pt idx="2">
                  <c:v>0.556</c:v>
                </c:pt>
                <c:pt idx="3">
                  <c:v>0.56</c:v>
                </c:pt>
                <c:pt idx="4">
                  <c:v>0.5605</c:v>
                </c:pt>
                <c:pt idx="5">
                  <c:v>0.554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Input!$N$4</c:f>
              <c:strCache>
                <c:ptCount val="1"/>
                <c:pt idx="0">
                  <c:v>0.1 - avg acc</c:v>
                </c:pt>
              </c:strCache>
            </c:strRef>
          </c:tx>
          <c:spPr>
            <a:ln>
              <a:solidFill>
                <a:srgbClr val="4F81BD"/>
              </a:solidFill>
            </a:ln>
          </c:spPr>
          <c:marker>
            <c:spPr>
              <a:solidFill>
                <a:srgbClr val="4F81BD"/>
              </a:solidFill>
              <a:ln>
                <a:solidFill>
                  <a:srgbClr val="4F81BD"/>
                </a:solidFill>
              </a:ln>
            </c:spPr>
          </c:marker>
          <c:cat>
            <c:strRef>
              <c:f>Input!$I$5:$I$10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Input!$N$5:$N$10</c:f>
              <c:numCache>
                <c:formatCode>0.00</c:formatCode>
                <c:ptCount val="6"/>
                <c:pt idx="0">
                  <c:v>0.522152777777778</c:v>
                </c:pt>
                <c:pt idx="1">
                  <c:v>0.527</c:v>
                </c:pt>
                <c:pt idx="2">
                  <c:v>0.527027777777778</c:v>
                </c:pt>
                <c:pt idx="3">
                  <c:v>0.523888888888889</c:v>
                </c:pt>
                <c:pt idx="4">
                  <c:v>0.526694444444444</c:v>
                </c:pt>
                <c:pt idx="5">
                  <c:v>0.524638888888889</c:v>
                </c:pt>
              </c:numCache>
            </c:numRef>
          </c:val>
          <c:smooth val="0"/>
        </c:ser>
        <c:ser>
          <c:idx val="5"/>
          <c:order val="2"/>
          <c:tx>
            <c:strRef>
              <c:f>Input!$O$4</c:f>
              <c:strCache>
                <c:ptCount val="1"/>
                <c:pt idx="0">
                  <c:v>0.1 - min acc</c:v>
                </c:pt>
              </c:strCache>
            </c:strRef>
          </c:tx>
          <c:spPr>
            <a:ln>
              <a:solidFill>
                <a:srgbClr val="DCE6F2"/>
              </a:solidFill>
            </a:ln>
          </c:spPr>
          <c:marker>
            <c:symbol val="square"/>
            <c:size val="9"/>
            <c:spPr>
              <a:solidFill>
                <a:srgbClr val="DCE6F2"/>
              </a:solidFill>
              <a:ln>
                <a:solidFill>
                  <a:srgbClr val="DCE6F2"/>
                </a:solidFill>
              </a:ln>
            </c:spPr>
          </c:marker>
          <c:cat>
            <c:strRef>
              <c:f>Input!$I$5:$I$10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Input!$O$5:$O$10</c:f>
              <c:numCache>
                <c:formatCode>0.00</c:formatCode>
                <c:ptCount val="6"/>
                <c:pt idx="0">
                  <c:v>0.4845</c:v>
                </c:pt>
                <c:pt idx="1">
                  <c:v>0.492</c:v>
                </c:pt>
                <c:pt idx="2">
                  <c:v>0.485</c:v>
                </c:pt>
                <c:pt idx="3">
                  <c:v>0.4715</c:v>
                </c:pt>
                <c:pt idx="4">
                  <c:v>0.489</c:v>
                </c:pt>
                <c:pt idx="5">
                  <c:v>0.489</c:v>
                </c:pt>
              </c:numCache>
            </c:numRef>
          </c:val>
          <c:smooth val="0"/>
        </c:ser>
        <c:ser>
          <c:idx val="6"/>
          <c:order val="3"/>
          <c:tx>
            <c:strRef>
              <c:f>Input!$S$4</c:f>
              <c:strCache>
                <c:ptCount val="1"/>
                <c:pt idx="0">
                  <c:v>0.3 - max of acc</c:v>
                </c:pt>
              </c:strCache>
            </c:strRef>
          </c:tx>
          <c:spPr>
            <a:ln>
              <a:solidFill>
                <a:srgbClr val="F2DCDB"/>
              </a:solidFill>
            </a:ln>
          </c:spPr>
          <c:marker>
            <c:spPr>
              <a:solidFill>
                <a:srgbClr val="F2DCDB"/>
              </a:solidFill>
              <a:ln>
                <a:solidFill>
                  <a:srgbClr val="F2DCDB"/>
                </a:solidFill>
              </a:ln>
            </c:spPr>
          </c:marker>
          <c:dPt>
            <c:idx val="0"/>
            <c:marker>
              <c:symbol val="triangle"/>
              <c:size val="9"/>
            </c:marker>
            <c:bubble3D val="0"/>
          </c:dPt>
          <c:cat>
            <c:strRef>
              <c:f>Input!$I$5:$I$10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Input!$S$5:$S$10</c:f>
              <c:numCache>
                <c:formatCode>0.00</c:formatCode>
                <c:ptCount val="6"/>
                <c:pt idx="0">
                  <c:v>0.555</c:v>
                </c:pt>
                <c:pt idx="1">
                  <c:v>0.566</c:v>
                </c:pt>
                <c:pt idx="2">
                  <c:v>0.5615</c:v>
                </c:pt>
                <c:pt idx="3">
                  <c:v>0.561</c:v>
                </c:pt>
                <c:pt idx="4">
                  <c:v>0.559</c:v>
                </c:pt>
                <c:pt idx="5">
                  <c:v>0.5635</c:v>
                </c:pt>
              </c:numCache>
            </c:numRef>
          </c:val>
          <c:smooth val="0"/>
        </c:ser>
        <c:ser>
          <c:idx val="7"/>
          <c:order val="4"/>
          <c:tx>
            <c:strRef>
              <c:f>Input!$T$4</c:f>
              <c:strCache>
                <c:ptCount val="1"/>
                <c:pt idx="0">
                  <c:v>0.3 - avg acc</c:v>
                </c:pt>
              </c:strCache>
            </c:strRef>
          </c:tx>
          <c:marker>
            <c:symbol val="triangle"/>
            <c:size val="9"/>
          </c:marker>
          <c:cat>
            <c:strRef>
              <c:f>Input!$I$5:$I$10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Input!$T$5:$T$10</c:f>
              <c:numCache>
                <c:formatCode>0.00</c:formatCode>
                <c:ptCount val="6"/>
                <c:pt idx="0">
                  <c:v>0.526111111111111</c:v>
                </c:pt>
                <c:pt idx="1">
                  <c:v>0.53</c:v>
                </c:pt>
                <c:pt idx="2">
                  <c:v>0.533319444444445</c:v>
                </c:pt>
                <c:pt idx="3">
                  <c:v>0.533486111111111</c:v>
                </c:pt>
                <c:pt idx="4">
                  <c:v>0.532083333333333</c:v>
                </c:pt>
                <c:pt idx="5">
                  <c:v>0.533458333333333</c:v>
                </c:pt>
              </c:numCache>
            </c:numRef>
          </c:val>
          <c:smooth val="0"/>
        </c:ser>
        <c:ser>
          <c:idx val="8"/>
          <c:order val="5"/>
          <c:tx>
            <c:strRef>
              <c:f>Input!$U$4</c:f>
              <c:strCache>
                <c:ptCount val="1"/>
                <c:pt idx="0">
                  <c:v>0.3 - min acc</c:v>
                </c:pt>
              </c:strCache>
            </c:strRef>
          </c:tx>
          <c:spPr>
            <a:ln>
              <a:solidFill>
                <a:schemeClr val="accent2">
                  <a:lumMod val="20000"/>
                  <a:lumOff val="80000"/>
                </a:schemeClr>
              </a:solidFill>
            </a:ln>
          </c:spPr>
          <c:marker>
            <c:symbol val="triangle"/>
            <c:size val="9"/>
            <c:spPr>
              <a:solidFill>
                <a:schemeClr val="accent2">
                  <a:lumMod val="20000"/>
                  <a:lumOff val="80000"/>
                </a:schemeClr>
              </a:solidFill>
              <a:ln>
                <a:solidFill>
                  <a:schemeClr val="accent2">
                    <a:lumMod val="20000"/>
                    <a:lumOff val="80000"/>
                  </a:schemeClr>
                </a:solidFill>
              </a:ln>
            </c:spPr>
          </c:marker>
          <c:cat>
            <c:strRef>
              <c:f>Input!$I$5:$I$10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Input!$U$5:$U$10</c:f>
              <c:numCache>
                <c:formatCode>0.00</c:formatCode>
                <c:ptCount val="6"/>
                <c:pt idx="0">
                  <c:v>0.505</c:v>
                </c:pt>
                <c:pt idx="1">
                  <c:v>0.4935</c:v>
                </c:pt>
                <c:pt idx="2">
                  <c:v>0.5045</c:v>
                </c:pt>
                <c:pt idx="3">
                  <c:v>0.502</c:v>
                </c:pt>
                <c:pt idx="4">
                  <c:v>0.492</c:v>
                </c:pt>
                <c:pt idx="5">
                  <c:v>0.4985</c:v>
                </c:pt>
              </c:numCache>
            </c:numRef>
          </c:val>
          <c:smooth val="0"/>
        </c:ser>
        <c:ser>
          <c:idx val="15"/>
          <c:order val="6"/>
          <c:tx>
            <c:strRef>
              <c:f>Input!$Y$4</c:f>
              <c:strCache>
                <c:ptCount val="1"/>
                <c:pt idx="0">
                  <c:v>0.5 - max of acc</c:v>
                </c:pt>
              </c:strCache>
            </c:strRef>
          </c:tx>
          <c:spPr>
            <a:ln>
              <a:solidFill>
                <a:schemeClr val="accent3">
                  <a:lumMod val="40000"/>
                  <a:lumOff val="60000"/>
                </a:schemeClr>
              </a:solidFill>
            </a:ln>
          </c:spPr>
          <c:marker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40000"/>
                    <a:lumOff val="60000"/>
                  </a:schemeClr>
                </a:solidFill>
              </a:ln>
            </c:spPr>
          </c:marker>
          <c:cat>
            <c:strRef>
              <c:f>Input!$I$5:$I$10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Input!$Y$5:$Y$10</c:f>
              <c:numCache>
                <c:formatCode>0.00</c:formatCode>
                <c:ptCount val="6"/>
                <c:pt idx="0">
                  <c:v>0.559</c:v>
                </c:pt>
                <c:pt idx="1">
                  <c:v>0.556</c:v>
                </c:pt>
                <c:pt idx="2">
                  <c:v>0.5685</c:v>
                </c:pt>
                <c:pt idx="3">
                  <c:v>0.5735</c:v>
                </c:pt>
                <c:pt idx="4">
                  <c:v>0.5575</c:v>
                </c:pt>
                <c:pt idx="5">
                  <c:v>0.568</c:v>
                </c:pt>
              </c:numCache>
            </c:numRef>
          </c:val>
          <c:smooth val="0"/>
        </c:ser>
        <c:ser>
          <c:idx val="16"/>
          <c:order val="7"/>
          <c:tx>
            <c:strRef>
              <c:f>Input!$Z$4</c:f>
              <c:strCache>
                <c:ptCount val="1"/>
                <c:pt idx="0">
                  <c:v>0.5 - avg acc</c:v>
                </c:pt>
              </c:strCache>
            </c:strRef>
          </c:tx>
          <c:spPr>
            <a:ln>
              <a:solidFill>
                <a:srgbClr val="9BBB59"/>
              </a:solidFill>
            </a:ln>
          </c:spPr>
          <c:marker>
            <c:symbol val="x"/>
            <c:size val="9"/>
            <c:spPr>
              <a:solidFill>
                <a:srgbClr val="9BBB59"/>
              </a:solidFill>
              <a:ln>
                <a:solidFill>
                  <a:srgbClr val="9BBB59"/>
                </a:solidFill>
              </a:ln>
            </c:spPr>
          </c:marker>
          <c:cat>
            <c:strRef>
              <c:f>Input!$I$5:$I$10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Input!$Z$5:$Z$10</c:f>
              <c:numCache>
                <c:formatCode>0.00</c:formatCode>
                <c:ptCount val="6"/>
                <c:pt idx="0">
                  <c:v>0.525</c:v>
                </c:pt>
                <c:pt idx="1">
                  <c:v>0.529</c:v>
                </c:pt>
                <c:pt idx="2">
                  <c:v>0.534971428571429</c:v>
                </c:pt>
                <c:pt idx="3">
                  <c:v>0.537285714285714</c:v>
                </c:pt>
                <c:pt idx="4">
                  <c:v>0.534457142857143</c:v>
                </c:pt>
                <c:pt idx="5">
                  <c:v>0.538042857142857</c:v>
                </c:pt>
              </c:numCache>
            </c:numRef>
          </c:val>
          <c:smooth val="0"/>
        </c:ser>
        <c:ser>
          <c:idx val="17"/>
          <c:order val="8"/>
          <c:tx>
            <c:strRef>
              <c:f>Input!$AA$4</c:f>
              <c:strCache>
                <c:ptCount val="1"/>
                <c:pt idx="0">
                  <c:v>0.5 - min acc</c:v>
                </c:pt>
              </c:strCache>
            </c:strRef>
          </c:tx>
          <c:spPr>
            <a:ln>
              <a:solidFill>
                <a:srgbClr val="D7E4BD"/>
              </a:solidFill>
            </a:ln>
          </c:spPr>
          <c:marker>
            <c:symbol val="x"/>
            <c:size val="9"/>
            <c:spPr>
              <a:solidFill>
                <a:srgbClr val="D7E4BD"/>
              </a:solidFill>
              <a:ln>
                <a:solidFill>
                  <a:srgbClr val="D7E4BD"/>
                </a:solidFill>
              </a:ln>
            </c:spPr>
          </c:marker>
          <c:cat>
            <c:strRef>
              <c:f>Input!$I$5:$I$10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Input!$AA$5:$AA$10</c:f>
              <c:numCache>
                <c:formatCode>0.00</c:formatCode>
                <c:ptCount val="6"/>
                <c:pt idx="0">
                  <c:v>0.488</c:v>
                </c:pt>
                <c:pt idx="1">
                  <c:v>0.495</c:v>
                </c:pt>
                <c:pt idx="2">
                  <c:v>0.504</c:v>
                </c:pt>
                <c:pt idx="3">
                  <c:v>0.501</c:v>
                </c:pt>
                <c:pt idx="4">
                  <c:v>0.494</c:v>
                </c:pt>
                <c:pt idx="5">
                  <c:v>0.5025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130504"/>
        <c:axId val="2125135400"/>
      </c:lineChart>
      <c:catAx>
        <c:axId val="2125130504"/>
        <c:scaling>
          <c:orientation val="minMax"/>
        </c:scaling>
        <c:delete val="0"/>
        <c:axPos val="b"/>
        <c:majorTickMark val="out"/>
        <c:minorTickMark val="none"/>
        <c:tickLblPos val="nextTo"/>
        <c:crossAx val="2125135400"/>
        <c:crosses val="autoZero"/>
        <c:auto val="1"/>
        <c:lblAlgn val="ctr"/>
        <c:lblOffset val="100"/>
        <c:noMultiLvlLbl val="0"/>
      </c:catAx>
      <c:valAx>
        <c:axId val="2125135400"/>
        <c:scaling>
          <c:orientation val="minMax"/>
          <c:min val="0.46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251305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Loss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'Cell Count'!$J$4</c:f>
              <c:strCache>
                <c:ptCount val="1"/>
                <c:pt idx="0">
                  <c:v>64 - max loss</c:v>
                </c:pt>
              </c:strCache>
            </c:strRef>
          </c:tx>
          <c:spPr>
            <a:ln>
              <a:solidFill>
                <a:schemeClr val="tx2">
                  <a:lumMod val="20000"/>
                  <a:lumOff val="80000"/>
                </a:schemeClr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20000"/>
                  <a:lumOff val="80000"/>
                </a:schemeClr>
              </a:solidFill>
              <a:ln>
                <a:solidFill>
                  <a:schemeClr val="tx2">
                    <a:lumMod val="20000"/>
                    <a:lumOff val="80000"/>
                  </a:schemeClr>
                </a:solidFill>
              </a:ln>
            </c:spPr>
          </c:marker>
          <c:cat>
            <c:strRef>
              <c:f>'Cell Count'!$I$5:$I$10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'Cell Count'!$J$5:$J$10</c:f>
              <c:numCache>
                <c:formatCode>0.00</c:formatCode>
                <c:ptCount val="6"/>
                <c:pt idx="0">
                  <c:v>2.2813</c:v>
                </c:pt>
                <c:pt idx="1">
                  <c:v>2.4166</c:v>
                </c:pt>
                <c:pt idx="2">
                  <c:v>2.4243</c:v>
                </c:pt>
                <c:pt idx="3">
                  <c:v>2.4975</c:v>
                </c:pt>
                <c:pt idx="4">
                  <c:v>2.511</c:v>
                </c:pt>
                <c:pt idx="5">
                  <c:v>2.6053</c:v>
                </c:pt>
              </c:numCache>
            </c:numRef>
          </c:val>
          <c:smooth val="0"/>
        </c:ser>
        <c:ser>
          <c:idx val="7"/>
          <c:order val="1"/>
          <c:tx>
            <c:strRef>
              <c:f>'Cell Count'!$K$4</c:f>
              <c:strCache>
                <c:ptCount val="1"/>
                <c:pt idx="0">
                  <c:v>64 - avg loss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9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cat>
            <c:strRef>
              <c:f>'Cell Count'!$I$5:$I$10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'Cell Count'!$K$5:$K$10</c:f>
              <c:numCache>
                <c:formatCode>0.00</c:formatCode>
                <c:ptCount val="6"/>
                <c:pt idx="0">
                  <c:v>1.947433333333334</c:v>
                </c:pt>
                <c:pt idx="1">
                  <c:v>1.974694444444444</c:v>
                </c:pt>
                <c:pt idx="2">
                  <c:v>1.98745</c:v>
                </c:pt>
                <c:pt idx="3">
                  <c:v>2.016169444444444</c:v>
                </c:pt>
                <c:pt idx="4">
                  <c:v>2.039802777777778</c:v>
                </c:pt>
                <c:pt idx="5">
                  <c:v>2.066697222222223</c:v>
                </c:pt>
              </c:numCache>
            </c:numRef>
          </c:val>
          <c:smooth val="0"/>
        </c:ser>
        <c:ser>
          <c:idx val="8"/>
          <c:order val="2"/>
          <c:tx>
            <c:strRef>
              <c:f>'Cell Count'!$L$4</c:f>
              <c:strCache>
                <c:ptCount val="1"/>
                <c:pt idx="0">
                  <c:v>64 - min loss</c:v>
                </c:pt>
              </c:strCache>
            </c:strRef>
          </c:tx>
          <c:spPr>
            <a:ln>
              <a:solidFill>
                <a:schemeClr val="accent1">
                  <a:lumMod val="40000"/>
                  <a:lumOff val="60000"/>
                </a:schemeClr>
              </a:solidFill>
            </a:ln>
          </c:spPr>
          <c:marker>
            <c:symbol val="circle"/>
            <c:size val="9"/>
            <c:spPr>
              <a:solidFill>
                <a:schemeClr val="accent1">
                  <a:lumMod val="40000"/>
                  <a:lumOff val="60000"/>
                </a:schemeClr>
              </a:solidFill>
              <a:ln>
                <a:solidFill>
                  <a:schemeClr val="accent1">
                    <a:lumMod val="40000"/>
                    <a:lumOff val="60000"/>
                  </a:schemeClr>
                </a:solidFill>
              </a:ln>
            </c:spPr>
          </c:marker>
          <c:cat>
            <c:strRef>
              <c:f>'Cell Count'!$I$5:$I$10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'Cell Count'!$L$5:$L$10</c:f>
              <c:numCache>
                <c:formatCode>0.00</c:formatCode>
                <c:ptCount val="6"/>
                <c:pt idx="0">
                  <c:v>1.7001</c:v>
                </c:pt>
                <c:pt idx="1">
                  <c:v>1.6642</c:v>
                </c:pt>
                <c:pt idx="2">
                  <c:v>1.695</c:v>
                </c:pt>
                <c:pt idx="3">
                  <c:v>1.6837</c:v>
                </c:pt>
                <c:pt idx="4">
                  <c:v>1.656</c:v>
                </c:pt>
                <c:pt idx="5">
                  <c:v>1.6727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'Cell Count'!$P$4</c:f>
              <c:strCache>
                <c:ptCount val="1"/>
                <c:pt idx="0">
                  <c:v>128 - max loss</c:v>
                </c:pt>
              </c:strCache>
            </c:strRef>
          </c:tx>
          <c:spPr>
            <a:ln>
              <a:solidFill>
                <a:schemeClr val="accent2">
                  <a:lumMod val="20000"/>
                  <a:lumOff val="80000"/>
                </a:schemeClr>
              </a:solidFill>
            </a:ln>
          </c:spPr>
          <c:marker>
            <c:symbol val="triangle"/>
            <c:size val="9"/>
            <c:spPr>
              <a:solidFill>
                <a:schemeClr val="accent2">
                  <a:lumMod val="20000"/>
                  <a:lumOff val="80000"/>
                </a:schemeClr>
              </a:solidFill>
              <a:ln>
                <a:solidFill>
                  <a:schemeClr val="accent2">
                    <a:lumMod val="20000"/>
                    <a:lumOff val="80000"/>
                  </a:schemeClr>
                </a:solidFill>
              </a:ln>
            </c:spPr>
          </c:marker>
          <c:cat>
            <c:strRef>
              <c:f>'Cell Count'!$I$5:$I$10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'Cell Count'!$P$5:$P$10</c:f>
              <c:numCache>
                <c:formatCode>0.00</c:formatCode>
                <c:ptCount val="6"/>
                <c:pt idx="0">
                  <c:v>2.2658</c:v>
                </c:pt>
                <c:pt idx="1">
                  <c:v>2.4002</c:v>
                </c:pt>
                <c:pt idx="2">
                  <c:v>2.405</c:v>
                </c:pt>
                <c:pt idx="3">
                  <c:v>2.5338</c:v>
                </c:pt>
                <c:pt idx="4">
                  <c:v>2.4652</c:v>
                </c:pt>
                <c:pt idx="5">
                  <c:v>2.4911</c:v>
                </c:pt>
              </c:numCache>
            </c:numRef>
          </c:val>
          <c:smooth val="0"/>
        </c:ser>
        <c:ser>
          <c:idx val="1"/>
          <c:order val="4"/>
          <c:tx>
            <c:strRef>
              <c:f>'Cell Count'!$Q$4</c:f>
              <c:strCache>
                <c:ptCount val="1"/>
                <c:pt idx="0">
                  <c:v>128 - avg loss</c:v>
                </c:pt>
              </c:strCache>
            </c:strRef>
          </c:tx>
          <c:marker>
            <c:symbol val="triangle"/>
            <c:size val="9"/>
          </c:marker>
          <c:cat>
            <c:strRef>
              <c:f>'Cell Count'!$I$5:$I$10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'Cell Count'!$Q$5:$Q$10</c:f>
              <c:numCache>
                <c:formatCode>0.00</c:formatCode>
                <c:ptCount val="6"/>
                <c:pt idx="0">
                  <c:v>1.890863888888889</c:v>
                </c:pt>
                <c:pt idx="1">
                  <c:v>1.927508333333333</c:v>
                </c:pt>
                <c:pt idx="2">
                  <c:v>1.937822222222222</c:v>
                </c:pt>
                <c:pt idx="3">
                  <c:v>1.959402777777777</c:v>
                </c:pt>
                <c:pt idx="4">
                  <c:v>2.004466666666666</c:v>
                </c:pt>
                <c:pt idx="5">
                  <c:v>2.008572222222222</c:v>
                </c:pt>
              </c:numCache>
            </c:numRef>
          </c:val>
          <c:smooth val="0"/>
        </c:ser>
        <c:ser>
          <c:idx val="2"/>
          <c:order val="5"/>
          <c:tx>
            <c:strRef>
              <c:f>'Cell Count'!$R$4</c:f>
              <c:strCache>
                <c:ptCount val="1"/>
                <c:pt idx="0">
                  <c:v>128 - min loss</c:v>
                </c:pt>
              </c:strCache>
            </c:strRef>
          </c:tx>
          <c:spPr>
            <a:ln>
              <a:solidFill>
                <a:schemeClr val="accent2">
                  <a:lumMod val="20000"/>
                  <a:lumOff val="80000"/>
                </a:schemeClr>
              </a:solidFill>
            </a:ln>
          </c:spPr>
          <c:marker>
            <c:spPr>
              <a:solidFill>
                <a:schemeClr val="accent2">
                  <a:lumMod val="20000"/>
                  <a:lumOff val="80000"/>
                </a:schemeClr>
              </a:solidFill>
              <a:ln>
                <a:solidFill>
                  <a:schemeClr val="accent2">
                    <a:lumMod val="20000"/>
                    <a:lumOff val="80000"/>
                  </a:schemeClr>
                </a:solidFill>
              </a:ln>
            </c:spPr>
          </c:marker>
          <c:cat>
            <c:strRef>
              <c:f>'Cell Count'!$I$5:$I$10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'Cell Count'!$R$5:$R$10</c:f>
              <c:numCache>
                <c:formatCode>0.00</c:formatCode>
                <c:ptCount val="6"/>
                <c:pt idx="0">
                  <c:v>1.6056</c:v>
                </c:pt>
                <c:pt idx="1">
                  <c:v>1.6237</c:v>
                </c:pt>
                <c:pt idx="2">
                  <c:v>1.6292</c:v>
                </c:pt>
                <c:pt idx="3">
                  <c:v>1.6264</c:v>
                </c:pt>
                <c:pt idx="4">
                  <c:v>1.626</c:v>
                </c:pt>
                <c:pt idx="5">
                  <c:v>1.6247</c:v>
                </c:pt>
              </c:numCache>
            </c:numRef>
          </c:val>
          <c:smooth val="0"/>
        </c:ser>
        <c:ser>
          <c:idx val="12"/>
          <c:order val="6"/>
          <c:tx>
            <c:strRef>
              <c:f>'Cell Count'!$V$4</c:f>
              <c:strCache>
                <c:ptCount val="1"/>
                <c:pt idx="0">
                  <c:v>256 - max loss</c:v>
                </c:pt>
              </c:strCache>
            </c:strRef>
          </c:tx>
          <c:spPr>
            <a:ln>
              <a:solidFill>
                <a:schemeClr val="accent3">
                  <a:lumMod val="40000"/>
                  <a:lumOff val="60000"/>
                </a:schemeClr>
              </a:solidFill>
            </a:ln>
          </c:spPr>
          <c:marker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40000"/>
                    <a:lumOff val="60000"/>
                  </a:schemeClr>
                </a:solidFill>
              </a:ln>
            </c:spPr>
          </c:marker>
          <c:cat>
            <c:strRef>
              <c:f>'Cell Count'!$I$5:$I$10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'Cell Count'!$V$5:$V$10</c:f>
              <c:numCache>
                <c:formatCode>0.00</c:formatCode>
                <c:ptCount val="6"/>
                <c:pt idx="0">
                  <c:v>2.3136</c:v>
                </c:pt>
                <c:pt idx="1">
                  <c:v>2.3171</c:v>
                </c:pt>
                <c:pt idx="2">
                  <c:v>2.3316</c:v>
                </c:pt>
                <c:pt idx="3">
                  <c:v>2.4964</c:v>
                </c:pt>
                <c:pt idx="4">
                  <c:v>2.516</c:v>
                </c:pt>
                <c:pt idx="5">
                  <c:v>2.4616</c:v>
                </c:pt>
              </c:numCache>
            </c:numRef>
          </c:val>
          <c:smooth val="0"/>
        </c:ser>
        <c:ser>
          <c:idx val="13"/>
          <c:order val="7"/>
          <c:tx>
            <c:strRef>
              <c:f>'Cell Count'!$W$4</c:f>
              <c:strCache>
                <c:ptCount val="1"/>
                <c:pt idx="0">
                  <c:v>256 - avg loss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cat>
            <c:strRef>
              <c:f>'Cell Count'!$I$5:$I$10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'Cell Count'!$W$5:$W$10</c:f>
              <c:numCache>
                <c:formatCode>0.00</c:formatCode>
                <c:ptCount val="6"/>
                <c:pt idx="0">
                  <c:v>1.879057142857144</c:v>
                </c:pt>
                <c:pt idx="1">
                  <c:v>1.876271428571429</c:v>
                </c:pt>
                <c:pt idx="2">
                  <c:v>1.899254285714286</c:v>
                </c:pt>
                <c:pt idx="3">
                  <c:v>1.93322</c:v>
                </c:pt>
                <c:pt idx="4">
                  <c:v>1.967045714285714</c:v>
                </c:pt>
                <c:pt idx="5">
                  <c:v>1.991362857142857</c:v>
                </c:pt>
              </c:numCache>
            </c:numRef>
          </c:val>
          <c:smooth val="0"/>
        </c:ser>
        <c:ser>
          <c:idx val="14"/>
          <c:order val="8"/>
          <c:tx>
            <c:strRef>
              <c:f>'Cell Count'!$X$4</c:f>
              <c:strCache>
                <c:ptCount val="1"/>
                <c:pt idx="0">
                  <c:v>256 - min loss</c:v>
                </c:pt>
              </c:strCache>
            </c:strRef>
          </c:tx>
          <c:marker>
            <c:symbol val="square"/>
            <c:size val="9"/>
          </c:marker>
          <c:cat>
            <c:strRef>
              <c:f>'Cell Count'!$I$5:$I$10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'Cell Count'!$X$5:$X$10</c:f>
              <c:numCache>
                <c:formatCode>0.00</c:formatCode>
                <c:ptCount val="6"/>
                <c:pt idx="0">
                  <c:v>1.6545</c:v>
                </c:pt>
                <c:pt idx="1">
                  <c:v>1.6671</c:v>
                </c:pt>
                <c:pt idx="2">
                  <c:v>1.6083</c:v>
                </c:pt>
                <c:pt idx="3">
                  <c:v>1.5973</c:v>
                </c:pt>
                <c:pt idx="4">
                  <c:v>1.639</c:v>
                </c:pt>
                <c:pt idx="5">
                  <c:v>1.6245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3574248"/>
        <c:axId val="2133567768"/>
      </c:lineChart>
      <c:catAx>
        <c:axId val="2133574248"/>
        <c:scaling>
          <c:orientation val="minMax"/>
        </c:scaling>
        <c:delete val="0"/>
        <c:axPos val="b"/>
        <c:majorTickMark val="out"/>
        <c:minorTickMark val="none"/>
        <c:tickLblPos val="nextTo"/>
        <c:crossAx val="2133567768"/>
        <c:crosses val="autoZero"/>
        <c:auto val="1"/>
        <c:lblAlgn val="ctr"/>
        <c:lblOffset val="100"/>
        <c:noMultiLvlLbl val="0"/>
      </c:catAx>
      <c:valAx>
        <c:axId val="2133567768"/>
        <c:scaling>
          <c:orientation val="minMax"/>
          <c:min val="1.4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335742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Accuracy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'Cell Count'!$M$4</c:f>
              <c:strCache>
                <c:ptCount val="1"/>
                <c:pt idx="0">
                  <c:v>64 - max of acc</c:v>
                </c:pt>
              </c:strCache>
            </c:strRef>
          </c:tx>
          <c:spPr>
            <a:ln>
              <a:solidFill>
                <a:srgbClr val="C6D9F1"/>
              </a:solidFill>
            </a:ln>
          </c:spPr>
          <c:marker>
            <c:spPr>
              <a:solidFill>
                <a:srgbClr val="C6D9F1"/>
              </a:solidFill>
              <a:ln>
                <a:solidFill>
                  <a:srgbClr val="C6D9F1"/>
                </a:solidFill>
              </a:ln>
            </c:spPr>
          </c:marker>
          <c:cat>
            <c:strRef>
              <c:f>'Cell Count'!$I$5:$I$10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'Cell Count'!$M$5:$M$10</c:f>
              <c:numCache>
                <c:formatCode>0.00</c:formatCode>
                <c:ptCount val="6"/>
                <c:pt idx="0">
                  <c:v>0.542</c:v>
                </c:pt>
                <c:pt idx="1">
                  <c:v>0.556</c:v>
                </c:pt>
                <c:pt idx="2">
                  <c:v>0.5535</c:v>
                </c:pt>
                <c:pt idx="3">
                  <c:v>0.561</c:v>
                </c:pt>
                <c:pt idx="4">
                  <c:v>0.5595</c:v>
                </c:pt>
                <c:pt idx="5">
                  <c:v>0.568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'Cell Count'!$N$4</c:f>
              <c:strCache>
                <c:ptCount val="1"/>
                <c:pt idx="0">
                  <c:v>64 - avg acc</c:v>
                </c:pt>
              </c:strCache>
            </c:strRef>
          </c:tx>
          <c:spPr>
            <a:ln>
              <a:solidFill>
                <a:srgbClr val="4F81BD"/>
              </a:solidFill>
            </a:ln>
          </c:spPr>
          <c:marker>
            <c:spPr>
              <a:solidFill>
                <a:srgbClr val="4F81BD"/>
              </a:solidFill>
              <a:ln>
                <a:solidFill>
                  <a:srgbClr val="4F81BD"/>
                </a:solidFill>
              </a:ln>
            </c:spPr>
          </c:marker>
          <c:cat>
            <c:strRef>
              <c:f>'Cell Count'!$I$5:$I$10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'Cell Count'!$N$5:$N$10</c:f>
              <c:numCache>
                <c:formatCode>0.00</c:formatCode>
                <c:ptCount val="6"/>
                <c:pt idx="0">
                  <c:v>0.517097222222222</c:v>
                </c:pt>
                <c:pt idx="1">
                  <c:v>0.521347222222222</c:v>
                </c:pt>
                <c:pt idx="2">
                  <c:v>0.525736111111111</c:v>
                </c:pt>
                <c:pt idx="3">
                  <c:v>0.527486111111111</c:v>
                </c:pt>
                <c:pt idx="4">
                  <c:v>0.52725</c:v>
                </c:pt>
                <c:pt idx="5">
                  <c:v>0.527986111111111</c:v>
                </c:pt>
              </c:numCache>
            </c:numRef>
          </c:val>
          <c:smooth val="0"/>
        </c:ser>
        <c:ser>
          <c:idx val="5"/>
          <c:order val="2"/>
          <c:tx>
            <c:strRef>
              <c:f>'Cell Count'!$O$4</c:f>
              <c:strCache>
                <c:ptCount val="1"/>
                <c:pt idx="0">
                  <c:v>64 - min acc</c:v>
                </c:pt>
              </c:strCache>
            </c:strRef>
          </c:tx>
          <c:spPr>
            <a:ln>
              <a:solidFill>
                <a:srgbClr val="DCE6F2"/>
              </a:solidFill>
            </a:ln>
          </c:spPr>
          <c:marker>
            <c:symbol val="square"/>
            <c:size val="9"/>
            <c:spPr>
              <a:solidFill>
                <a:srgbClr val="DCE6F2"/>
              </a:solidFill>
              <a:ln>
                <a:solidFill>
                  <a:srgbClr val="DCE6F2"/>
                </a:solidFill>
              </a:ln>
            </c:spPr>
          </c:marker>
          <c:cat>
            <c:strRef>
              <c:f>'Cell Count'!$I$5:$I$10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'Cell Count'!$O$5:$O$10</c:f>
              <c:numCache>
                <c:formatCode>0.00</c:formatCode>
                <c:ptCount val="6"/>
                <c:pt idx="0">
                  <c:v>0.4845</c:v>
                </c:pt>
                <c:pt idx="1">
                  <c:v>0.492</c:v>
                </c:pt>
                <c:pt idx="2">
                  <c:v>0.485</c:v>
                </c:pt>
                <c:pt idx="3">
                  <c:v>0.4715</c:v>
                </c:pt>
                <c:pt idx="4">
                  <c:v>0.492</c:v>
                </c:pt>
                <c:pt idx="5">
                  <c:v>0.489</c:v>
                </c:pt>
              </c:numCache>
            </c:numRef>
          </c:val>
          <c:smooth val="0"/>
        </c:ser>
        <c:ser>
          <c:idx val="6"/>
          <c:order val="3"/>
          <c:tx>
            <c:strRef>
              <c:f>'Cell Count'!$S$4</c:f>
              <c:strCache>
                <c:ptCount val="1"/>
                <c:pt idx="0">
                  <c:v>128 - max of acc</c:v>
                </c:pt>
              </c:strCache>
            </c:strRef>
          </c:tx>
          <c:spPr>
            <a:ln>
              <a:solidFill>
                <a:srgbClr val="F2DCDB"/>
              </a:solidFill>
            </a:ln>
          </c:spPr>
          <c:marker>
            <c:spPr>
              <a:solidFill>
                <a:srgbClr val="F2DCDB"/>
              </a:solidFill>
              <a:ln>
                <a:solidFill>
                  <a:srgbClr val="F2DCDB"/>
                </a:solidFill>
              </a:ln>
            </c:spPr>
          </c:marker>
          <c:dPt>
            <c:idx val="0"/>
            <c:marker>
              <c:symbol val="triangle"/>
              <c:size val="9"/>
            </c:marker>
            <c:bubble3D val="0"/>
          </c:dPt>
          <c:cat>
            <c:strRef>
              <c:f>'Cell Count'!$I$5:$I$10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'Cell Count'!$S$5:$S$10</c:f>
              <c:numCache>
                <c:formatCode>0.00</c:formatCode>
                <c:ptCount val="6"/>
                <c:pt idx="0">
                  <c:v>0.559</c:v>
                </c:pt>
                <c:pt idx="1">
                  <c:v>0.563</c:v>
                </c:pt>
                <c:pt idx="2">
                  <c:v>0.5685</c:v>
                </c:pt>
                <c:pt idx="3">
                  <c:v>0.559</c:v>
                </c:pt>
                <c:pt idx="4">
                  <c:v>0.556</c:v>
                </c:pt>
                <c:pt idx="5">
                  <c:v>0.567</c:v>
                </c:pt>
              </c:numCache>
            </c:numRef>
          </c:val>
          <c:smooth val="0"/>
        </c:ser>
        <c:ser>
          <c:idx val="7"/>
          <c:order val="4"/>
          <c:tx>
            <c:strRef>
              <c:f>'Cell Count'!$T$4</c:f>
              <c:strCache>
                <c:ptCount val="1"/>
                <c:pt idx="0">
                  <c:v>128 - avg acc</c:v>
                </c:pt>
              </c:strCache>
            </c:strRef>
          </c:tx>
          <c:marker>
            <c:symbol val="triangle"/>
            <c:size val="9"/>
          </c:marker>
          <c:cat>
            <c:strRef>
              <c:f>'Cell Count'!$I$5:$I$10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'Cell Count'!$T$5:$T$10</c:f>
              <c:numCache>
                <c:formatCode>0.00</c:formatCode>
                <c:ptCount val="6"/>
                <c:pt idx="0">
                  <c:v>0.527833333333333</c:v>
                </c:pt>
                <c:pt idx="1">
                  <c:v>0.529902777777778</c:v>
                </c:pt>
                <c:pt idx="2">
                  <c:v>0.534319444444444</c:v>
                </c:pt>
                <c:pt idx="3">
                  <c:v>0.533097222222222</c:v>
                </c:pt>
                <c:pt idx="4">
                  <c:v>0.531791666666667</c:v>
                </c:pt>
                <c:pt idx="5">
                  <c:v>0.532138888888889</c:v>
                </c:pt>
              </c:numCache>
            </c:numRef>
          </c:val>
          <c:smooth val="0"/>
        </c:ser>
        <c:ser>
          <c:idx val="8"/>
          <c:order val="5"/>
          <c:tx>
            <c:strRef>
              <c:f>'Cell Count'!$U$4</c:f>
              <c:strCache>
                <c:ptCount val="1"/>
                <c:pt idx="0">
                  <c:v>128 - min acc</c:v>
                </c:pt>
              </c:strCache>
            </c:strRef>
          </c:tx>
          <c:spPr>
            <a:ln>
              <a:solidFill>
                <a:schemeClr val="accent2">
                  <a:lumMod val="20000"/>
                  <a:lumOff val="80000"/>
                </a:schemeClr>
              </a:solidFill>
            </a:ln>
          </c:spPr>
          <c:marker>
            <c:symbol val="triangle"/>
            <c:size val="9"/>
            <c:spPr>
              <a:solidFill>
                <a:schemeClr val="accent2">
                  <a:lumMod val="20000"/>
                  <a:lumOff val="80000"/>
                </a:schemeClr>
              </a:solidFill>
              <a:ln>
                <a:solidFill>
                  <a:schemeClr val="accent2">
                    <a:lumMod val="20000"/>
                    <a:lumOff val="80000"/>
                  </a:schemeClr>
                </a:solidFill>
              </a:ln>
            </c:spPr>
          </c:marker>
          <c:cat>
            <c:strRef>
              <c:f>'Cell Count'!$I$5:$I$10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'Cell Count'!$U$5:$U$10</c:f>
              <c:numCache>
                <c:formatCode>0.00</c:formatCode>
                <c:ptCount val="6"/>
                <c:pt idx="0">
                  <c:v>0.486</c:v>
                </c:pt>
                <c:pt idx="1">
                  <c:v>0.4955</c:v>
                </c:pt>
                <c:pt idx="2">
                  <c:v>0.4945</c:v>
                </c:pt>
                <c:pt idx="3">
                  <c:v>0.497</c:v>
                </c:pt>
                <c:pt idx="4">
                  <c:v>0.5035</c:v>
                </c:pt>
                <c:pt idx="5">
                  <c:v>0.4985</c:v>
                </c:pt>
              </c:numCache>
            </c:numRef>
          </c:val>
          <c:smooth val="0"/>
        </c:ser>
        <c:ser>
          <c:idx val="15"/>
          <c:order val="6"/>
          <c:tx>
            <c:strRef>
              <c:f>'Cell Count'!$Y$4</c:f>
              <c:strCache>
                <c:ptCount val="1"/>
                <c:pt idx="0">
                  <c:v>256 - max of acc</c:v>
                </c:pt>
              </c:strCache>
            </c:strRef>
          </c:tx>
          <c:spPr>
            <a:ln>
              <a:solidFill>
                <a:schemeClr val="accent3">
                  <a:lumMod val="40000"/>
                  <a:lumOff val="60000"/>
                </a:schemeClr>
              </a:solidFill>
            </a:ln>
          </c:spPr>
          <c:marker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40000"/>
                    <a:lumOff val="60000"/>
                  </a:schemeClr>
                </a:solidFill>
              </a:ln>
            </c:spPr>
          </c:marker>
          <c:cat>
            <c:strRef>
              <c:f>'Cell Count'!$I$5:$I$10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'Cell Count'!$Y$5:$Y$10</c:f>
              <c:numCache>
                <c:formatCode>0.00</c:formatCode>
                <c:ptCount val="6"/>
                <c:pt idx="0">
                  <c:v>0.5515</c:v>
                </c:pt>
                <c:pt idx="1">
                  <c:v>0.567</c:v>
                </c:pt>
                <c:pt idx="2">
                  <c:v>0.559</c:v>
                </c:pt>
                <c:pt idx="3">
                  <c:v>0.5735</c:v>
                </c:pt>
                <c:pt idx="4">
                  <c:v>0.5605</c:v>
                </c:pt>
                <c:pt idx="5">
                  <c:v>0.567</c:v>
                </c:pt>
              </c:numCache>
            </c:numRef>
          </c:val>
          <c:smooth val="0"/>
        </c:ser>
        <c:ser>
          <c:idx val="16"/>
          <c:order val="7"/>
          <c:tx>
            <c:strRef>
              <c:f>'Cell Count'!$Z$4</c:f>
              <c:strCache>
                <c:ptCount val="1"/>
                <c:pt idx="0">
                  <c:v>256 - avg acc</c:v>
                </c:pt>
              </c:strCache>
            </c:strRef>
          </c:tx>
          <c:spPr>
            <a:ln>
              <a:solidFill>
                <a:srgbClr val="9BBB59"/>
              </a:solidFill>
            </a:ln>
          </c:spPr>
          <c:marker>
            <c:symbol val="x"/>
            <c:size val="9"/>
            <c:spPr>
              <a:solidFill>
                <a:srgbClr val="9BBB59"/>
              </a:solidFill>
              <a:ln>
                <a:solidFill>
                  <a:srgbClr val="9BBB59"/>
                </a:solidFill>
              </a:ln>
            </c:spPr>
          </c:marker>
          <c:cat>
            <c:strRef>
              <c:f>'Cell Count'!$I$5:$I$10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'Cell Count'!$Z$5:$Z$10</c:f>
              <c:numCache>
                <c:formatCode>0.00</c:formatCode>
                <c:ptCount val="6"/>
                <c:pt idx="0">
                  <c:v>0.528428571428571</c:v>
                </c:pt>
                <c:pt idx="1">
                  <c:v>0.534914285714286</c:v>
                </c:pt>
                <c:pt idx="2">
                  <c:v>0.535271428571429</c:v>
                </c:pt>
                <c:pt idx="3">
                  <c:v>0.533985714285714</c:v>
                </c:pt>
                <c:pt idx="4">
                  <c:v>0.534185714285714</c:v>
                </c:pt>
                <c:pt idx="5">
                  <c:v>0.535957142857143</c:v>
                </c:pt>
              </c:numCache>
            </c:numRef>
          </c:val>
          <c:smooth val="0"/>
        </c:ser>
        <c:ser>
          <c:idx val="17"/>
          <c:order val="8"/>
          <c:tx>
            <c:strRef>
              <c:f>'Cell Count'!$AA$4</c:f>
              <c:strCache>
                <c:ptCount val="1"/>
                <c:pt idx="0">
                  <c:v>256 - min acc</c:v>
                </c:pt>
              </c:strCache>
            </c:strRef>
          </c:tx>
          <c:spPr>
            <a:ln>
              <a:solidFill>
                <a:srgbClr val="D7E4BD"/>
              </a:solidFill>
            </a:ln>
          </c:spPr>
          <c:marker>
            <c:symbol val="x"/>
            <c:size val="9"/>
            <c:spPr>
              <a:solidFill>
                <a:srgbClr val="D7E4BD"/>
              </a:solidFill>
              <a:ln>
                <a:solidFill>
                  <a:srgbClr val="D7E4BD"/>
                </a:solidFill>
              </a:ln>
            </c:spPr>
          </c:marker>
          <c:cat>
            <c:strRef>
              <c:f>'Cell Count'!$I$5:$I$10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'Cell Count'!$AA$5:$AA$10</c:f>
              <c:numCache>
                <c:formatCode>0.00</c:formatCode>
                <c:ptCount val="6"/>
                <c:pt idx="0">
                  <c:v>0.496</c:v>
                </c:pt>
                <c:pt idx="1">
                  <c:v>0.5065</c:v>
                </c:pt>
                <c:pt idx="2">
                  <c:v>0.505</c:v>
                </c:pt>
                <c:pt idx="3">
                  <c:v>0.4945</c:v>
                </c:pt>
                <c:pt idx="4">
                  <c:v>0.489</c:v>
                </c:pt>
                <c:pt idx="5">
                  <c:v>0.5055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9285736"/>
        <c:axId val="2131954136"/>
      </c:lineChart>
      <c:catAx>
        <c:axId val="2129285736"/>
        <c:scaling>
          <c:orientation val="minMax"/>
        </c:scaling>
        <c:delete val="0"/>
        <c:axPos val="b"/>
        <c:majorTickMark val="out"/>
        <c:minorTickMark val="none"/>
        <c:tickLblPos val="nextTo"/>
        <c:crossAx val="2131954136"/>
        <c:crosses val="autoZero"/>
        <c:auto val="1"/>
        <c:lblAlgn val="ctr"/>
        <c:lblOffset val="100"/>
        <c:noMultiLvlLbl val="0"/>
      </c:catAx>
      <c:valAx>
        <c:axId val="2131954136"/>
        <c:scaling>
          <c:orientation val="minMax"/>
          <c:min val="0.46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292857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GRU Loss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Cell_Count_GRU!$J$4</c:f>
              <c:strCache>
                <c:ptCount val="1"/>
                <c:pt idx="0">
                  <c:v>64 - max loss</c:v>
                </c:pt>
              </c:strCache>
            </c:strRef>
          </c:tx>
          <c:spPr>
            <a:ln>
              <a:solidFill>
                <a:schemeClr val="tx2">
                  <a:lumMod val="20000"/>
                  <a:lumOff val="80000"/>
                </a:schemeClr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20000"/>
                  <a:lumOff val="80000"/>
                </a:schemeClr>
              </a:solidFill>
              <a:ln>
                <a:solidFill>
                  <a:schemeClr val="tx2">
                    <a:lumMod val="20000"/>
                    <a:lumOff val="80000"/>
                  </a:schemeClr>
                </a:solidFill>
              </a:ln>
            </c:spPr>
          </c:marker>
          <c:cat>
            <c:strRef>
              <c:f>Cell_Count_GRU!$I$5:$I$10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Cell_Count_GRU!$J$5:$J$10</c:f>
              <c:numCache>
                <c:formatCode>0.00</c:formatCode>
                <c:ptCount val="6"/>
                <c:pt idx="0">
                  <c:v>2.1854</c:v>
                </c:pt>
                <c:pt idx="1">
                  <c:v>2.4148</c:v>
                </c:pt>
                <c:pt idx="2">
                  <c:v>2.3063</c:v>
                </c:pt>
                <c:pt idx="3">
                  <c:v>2.3707</c:v>
                </c:pt>
                <c:pt idx="4">
                  <c:v>2.4269</c:v>
                </c:pt>
                <c:pt idx="5">
                  <c:v>2.42</c:v>
                </c:pt>
              </c:numCache>
            </c:numRef>
          </c:val>
          <c:smooth val="0"/>
        </c:ser>
        <c:ser>
          <c:idx val="7"/>
          <c:order val="1"/>
          <c:tx>
            <c:strRef>
              <c:f>Cell_Count_GRU!$K$4</c:f>
              <c:strCache>
                <c:ptCount val="1"/>
                <c:pt idx="0">
                  <c:v>64 - avg loss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9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cat>
            <c:strRef>
              <c:f>Cell_Count_GRU!$I$5:$I$10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Cell_Count_GRU!$K$5:$K$10</c:f>
              <c:numCache>
                <c:formatCode>0.00</c:formatCode>
                <c:ptCount val="6"/>
                <c:pt idx="0">
                  <c:v>1.91575</c:v>
                </c:pt>
                <c:pt idx="1">
                  <c:v>1.960991666666667</c:v>
                </c:pt>
                <c:pt idx="2">
                  <c:v>1.970358333333333</c:v>
                </c:pt>
                <c:pt idx="3">
                  <c:v>1.996141666666667</c:v>
                </c:pt>
                <c:pt idx="4">
                  <c:v>2.013883333333333</c:v>
                </c:pt>
                <c:pt idx="5">
                  <c:v>2.0418</c:v>
                </c:pt>
              </c:numCache>
            </c:numRef>
          </c:val>
          <c:smooth val="0"/>
        </c:ser>
        <c:ser>
          <c:idx val="8"/>
          <c:order val="2"/>
          <c:tx>
            <c:strRef>
              <c:f>Cell_Count_GRU!$L$4</c:f>
              <c:strCache>
                <c:ptCount val="1"/>
                <c:pt idx="0">
                  <c:v>64 - min loss</c:v>
                </c:pt>
              </c:strCache>
            </c:strRef>
          </c:tx>
          <c:spPr>
            <a:ln>
              <a:solidFill>
                <a:schemeClr val="accent1">
                  <a:lumMod val="40000"/>
                  <a:lumOff val="60000"/>
                </a:schemeClr>
              </a:solidFill>
            </a:ln>
          </c:spPr>
          <c:marker>
            <c:symbol val="circle"/>
            <c:size val="9"/>
            <c:spPr>
              <a:solidFill>
                <a:schemeClr val="accent1">
                  <a:lumMod val="40000"/>
                  <a:lumOff val="60000"/>
                </a:schemeClr>
              </a:solidFill>
              <a:ln>
                <a:solidFill>
                  <a:schemeClr val="accent1">
                    <a:lumMod val="40000"/>
                    <a:lumOff val="60000"/>
                  </a:schemeClr>
                </a:solidFill>
              </a:ln>
            </c:spPr>
          </c:marker>
          <c:cat>
            <c:strRef>
              <c:f>Cell_Count_GRU!$I$5:$I$10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Cell_Count_GRU!$L$5:$L$10</c:f>
              <c:numCache>
                <c:formatCode>0.00</c:formatCode>
                <c:ptCount val="6"/>
                <c:pt idx="0">
                  <c:v>1.7001</c:v>
                </c:pt>
                <c:pt idx="1">
                  <c:v>1.6947</c:v>
                </c:pt>
                <c:pt idx="2">
                  <c:v>1.695</c:v>
                </c:pt>
                <c:pt idx="3">
                  <c:v>1.6837</c:v>
                </c:pt>
                <c:pt idx="4">
                  <c:v>1.656</c:v>
                </c:pt>
                <c:pt idx="5">
                  <c:v>1.6727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Cell_Count_GRU!$P$4</c:f>
              <c:strCache>
                <c:ptCount val="1"/>
                <c:pt idx="0">
                  <c:v>128 - max loss</c:v>
                </c:pt>
              </c:strCache>
            </c:strRef>
          </c:tx>
          <c:spPr>
            <a:ln>
              <a:solidFill>
                <a:schemeClr val="accent2">
                  <a:lumMod val="20000"/>
                  <a:lumOff val="80000"/>
                </a:schemeClr>
              </a:solidFill>
            </a:ln>
          </c:spPr>
          <c:marker>
            <c:symbol val="triangle"/>
            <c:size val="9"/>
            <c:spPr>
              <a:solidFill>
                <a:schemeClr val="accent2">
                  <a:lumMod val="20000"/>
                  <a:lumOff val="80000"/>
                </a:schemeClr>
              </a:solidFill>
              <a:ln>
                <a:solidFill>
                  <a:schemeClr val="accent2">
                    <a:lumMod val="20000"/>
                    <a:lumOff val="80000"/>
                  </a:schemeClr>
                </a:solidFill>
              </a:ln>
            </c:spPr>
          </c:marker>
          <c:cat>
            <c:strRef>
              <c:f>Cell_Count_GRU!$I$5:$I$10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Cell_Count_GRU!$P$5:$P$10</c:f>
              <c:numCache>
                <c:formatCode>0.00</c:formatCode>
                <c:ptCount val="6"/>
                <c:pt idx="0">
                  <c:v>2.2474</c:v>
                </c:pt>
                <c:pt idx="1">
                  <c:v>2.2966</c:v>
                </c:pt>
                <c:pt idx="2">
                  <c:v>2.405</c:v>
                </c:pt>
                <c:pt idx="3">
                  <c:v>2.3171</c:v>
                </c:pt>
                <c:pt idx="4">
                  <c:v>2.3991</c:v>
                </c:pt>
                <c:pt idx="5">
                  <c:v>2.4036</c:v>
                </c:pt>
              </c:numCache>
            </c:numRef>
          </c:val>
          <c:smooth val="0"/>
        </c:ser>
        <c:ser>
          <c:idx val="1"/>
          <c:order val="4"/>
          <c:tx>
            <c:strRef>
              <c:f>Cell_Count_GRU!$Q$4</c:f>
              <c:strCache>
                <c:ptCount val="1"/>
                <c:pt idx="0">
                  <c:v>128 - avg loss</c:v>
                </c:pt>
              </c:strCache>
            </c:strRef>
          </c:tx>
          <c:marker>
            <c:symbol val="triangle"/>
            <c:size val="9"/>
          </c:marker>
          <c:cat>
            <c:strRef>
              <c:f>Cell_Count_GRU!$I$5:$I$10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Cell_Count_GRU!$Q$5:$Q$10</c:f>
              <c:numCache>
                <c:formatCode>0.00</c:formatCode>
                <c:ptCount val="6"/>
                <c:pt idx="0">
                  <c:v>1.853225</c:v>
                </c:pt>
                <c:pt idx="1">
                  <c:v>1.909941666666667</c:v>
                </c:pt>
                <c:pt idx="2">
                  <c:v>1.901308333333333</c:v>
                </c:pt>
                <c:pt idx="3">
                  <c:v>1.929733333333333</c:v>
                </c:pt>
                <c:pt idx="4">
                  <c:v>1.976366666666666</c:v>
                </c:pt>
                <c:pt idx="5">
                  <c:v>1.987275</c:v>
                </c:pt>
              </c:numCache>
            </c:numRef>
          </c:val>
          <c:smooth val="0"/>
        </c:ser>
        <c:ser>
          <c:idx val="2"/>
          <c:order val="5"/>
          <c:tx>
            <c:strRef>
              <c:f>Cell_Count_GRU!$R$4</c:f>
              <c:strCache>
                <c:ptCount val="1"/>
                <c:pt idx="0">
                  <c:v>128 - min loss</c:v>
                </c:pt>
              </c:strCache>
            </c:strRef>
          </c:tx>
          <c:spPr>
            <a:ln>
              <a:solidFill>
                <a:schemeClr val="accent2">
                  <a:lumMod val="20000"/>
                  <a:lumOff val="80000"/>
                </a:schemeClr>
              </a:solidFill>
            </a:ln>
          </c:spPr>
          <c:marker>
            <c:spPr>
              <a:solidFill>
                <a:schemeClr val="accent2">
                  <a:lumMod val="20000"/>
                  <a:lumOff val="80000"/>
                </a:schemeClr>
              </a:solidFill>
              <a:ln>
                <a:solidFill>
                  <a:schemeClr val="accent2">
                    <a:lumMod val="20000"/>
                    <a:lumOff val="80000"/>
                  </a:schemeClr>
                </a:solidFill>
              </a:ln>
            </c:spPr>
          </c:marker>
          <c:cat>
            <c:strRef>
              <c:f>Cell_Count_GRU!$I$5:$I$10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Cell_Count_GRU!$R$5:$R$10</c:f>
              <c:numCache>
                <c:formatCode>0.00</c:formatCode>
                <c:ptCount val="6"/>
                <c:pt idx="0">
                  <c:v>1.6056</c:v>
                </c:pt>
                <c:pt idx="1">
                  <c:v>1.6621</c:v>
                </c:pt>
                <c:pt idx="2">
                  <c:v>1.6292</c:v>
                </c:pt>
                <c:pt idx="3">
                  <c:v>1.6264</c:v>
                </c:pt>
                <c:pt idx="4">
                  <c:v>1.6739</c:v>
                </c:pt>
                <c:pt idx="5">
                  <c:v>1.6247</c:v>
                </c:pt>
              </c:numCache>
            </c:numRef>
          </c:val>
          <c:smooth val="0"/>
        </c:ser>
        <c:ser>
          <c:idx val="12"/>
          <c:order val="6"/>
          <c:tx>
            <c:strRef>
              <c:f>Cell_Count_GRU!$V$4</c:f>
              <c:strCache>
                <c:ptCount val="1"/>
                <c:pt idx="0">
                  <c:v>256 - max loss</c:v>
                </c:pt>
              </c:strCache>
            </c:strRef>
          </c:tx>
          <c:spPr>
            <a:ln>
              <a:solidFill>
                <a:schemeClr val="accent3">
                  <a:lumMod val="40000"/>
                  <a:lumOff val="60000"/>
                </a:schemeClr>
              </a:solidFill>
            </a:ln>
          </c:spPr>
          <c:marker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40000"/>
                    <a:lumOff val="60000"/>
                  </a:schemeClr>
                </a:solidFill>
              </a:ln>
            </c:spPr>
          </c:marker>
          <c:cat>
            <c:strRef>
              <c:f>Cell_Count_GRU!$I$5:$I$10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Cell_Count_GRU!$V$5:$V$10</c:f>
              <c:numCache>
                <c:formatCode>0.00</c:formatCode>
                <c:ptCount val="6"/>
                <c:pt idx="0">
                  <c:v>2.0981</c:v>
                </c:pt>
                <c:pt idx="1">
                  <c:v>2.2236</c:v>
                </c:pt>
                <c:pt idx="2">
                  <c:v>2.1554</c:v>
                </c:pt>
                <c:pt idx="3">
                  <c:v>2.1913</c:v>
                </c:pt>
                <c:pt idx="4">
                  <c:v>2.2364</c:v>
                </c:pt>
                <c:pt idx="5">
                  <c:v>2.353</c:v>
                </c:pt>
              </c:numCache>
            </c:numRef>
          </c:val>
          <c:smooth val="0"/>
        </c:ser>
        <c:ser>
          <c:idx val="13"/>
          <c:order val="7"/>
          <c:tx>
            <c:strRef>
              <c:f>Cell_Count_GRU!$W$4</c:f>
              <c:strCache>
                <c:ptCount val="1"/>
                <c:pt idx="0">
                  <c:v>256 - avg loss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cat>
            <c:strRef>
              <c:f>Cell_Count_GRU!$I$5:$I$10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Cell_Count_GRU!$W$5:$W$10</c:f>
              <c:numCache>
                <c:formatCode>0.00</c:formatCode>
                <c:ptCount val="6"/>
                <c:pt idx="0">
                  <c:v>1.84465</c:v>
                </c:pt>
                <c:pt idx="1">
                  <c:v>1.8587</c:v>
                </c:pt>
                <c:pt idx="2">
                  <c:v>1.8934</c:v>
                </c:pt>
                <c:pt idx="3">
                  <c:v>1.90525</c:v>
                </c:pt>
                <c:pt idx="4">
                  <c:v>1.935433333333333</c:v>
                </c:pt>
                <c:pt idx="5">
                  <c:v>1.994983333333333</c:v>
                </c:pt>
              </c:numCache>
            </c:numRef>
          </c:val>
          <c:smooth val="0"/>
        </c:ser>
        <c:ser>
          <c:idx val="14"/>
          <c:order val="8"/>
          <c:tx>
            <c:strRef>
              <c:f>Cell_Count_GRU!$X$4</c:f>
              <c:strCache>
                <c:ptCount val="1"/>
                <c:pt idx="0">
                  <c:v>256 - min loss</c:v>
                </c:pt>
              </c:strCache>
            </c:strRef>
          </c:tx>
          <c:marker>
            <c:symbol val="square"/>
            <c:size val="9"/>
          </c:marker>
          <c:cat>
            <c:strRef>
              <c:f>Cell_Count_GRU!$I$5:$I$10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Cell_Count_GRU!$X$5:$X$10</c:f>
              <c:numCache>
                <c:formatCode>0.00</c:formatCode>
                <c:ptCount val="6"/>
                <c:pt idx="0">
                  <c:v>1.6545</c:v>
                </c:pt>
                <c:pt idx="1">
                  <c:v>1.6671</c:v>
                </c:pt>
                <c:pt idx="2">
                  <c:v>1.6281</c:v>
                </c:pt>
                <c:pt idx="3">
                  <c:v>1.5973</c:v>
                </c:pt>
                <c:pt idx="4">
                  <c:v>1.639</c:v>
                </c:pt>
                <c:pt idx="5">
                  <c:v>1.6245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0028296"/>
        <c:axId val="2128745192"/>
      </c:lineChart>
      <c:catAx>
        <c:axId val="2130028296"/>
        <c:scaling>
          <c:orientation val="minMax"/>
        </c:scaling>
        <c:delete val="0"/>
        <c:axPos val="b"/>
        <c:majorTickMark val="out"/>
        <c:minorTickMark val="none"/>
        <c:tickLblPos val="nextTo"/>
        <c:crossAx val="2128745192"/>
        <c:crosses val="autoZero"/>
        <c:auto val="1"/>
        <c:lblAlgn val="ctr"/>
        <c:lblOffset val="100"/>
        <c:noMultiLvlLbl val="0"/>
      </c:catAx>
      <c:valAx>
        <c:axId val="2128745192"/>
        <c:scaling>
          <c:orientation val="minMax"/>
          <c:min val="1.4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300282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GRU Accuracy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Cell_Count_GRU!$M$4</c:f>
              <c:strCache>
                <c:ptCount val="1"/>
                <c:pt idx="0">
                  <c:v>64 - max of acc</c:v>
                </c:pt>
              </c:strCache>
            </c:strRef>
          </c:tx>
          <c:spPr>
            <a:ln>
              <a:solidFill>
                <a:srgbClr val="C6D9F1"/>
              </a:solidFill>
            </a:ln>
          </c:spPr>
          <c:marker>
            <c:spPr>
              <a:solidFill>
                <a:srgbClr val="C6D9F1"/>
              </a:solidFill>
              <a:ln>
                <a:solidFill>
                  <a:srgbClr val="C6D9F1"/>
                </a:solidFill>
              </a:ln>
            </c:spPr>
          </c:marker>
          <c:cat>
            <c:strRef>
              <c:f>Cell_Count_GRU!$I$5:$I$10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Cell_Count_GRU!$M$5:$M$10</c:f>
              <c:numCache>
                <c:formatCode>0.00</c:formatCode>
                <c:ptCount val="6"/>
                <c:pt idx="0">
                  <c:v>0.542</c:v>
                </c:pt>
                <c:pt idx="1">
                  <c:v>0.5485</c:v>
                </c:pt>
                <c:pt idx="2">
                  <c:v>0.5535</c:v>
                </c:pt>
                <c:pt idx="3">
                  <c:v>0.561</c:v>
                </c:pt>
                <c:pt idx="4">
                  <c:v>0.559</c:v>
                </c:pt>
                <c:pt idx="5">
                  <c:v>0.563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Cell_Count_GRU!$N$4</c:f>
              <c:strCache>
                <c:ptCount val="1"/>
                <c:pt idx="0">
                  <c:v>64 - avg acc</c:v>
                </c:pt>
              </c:strCache>
            </c:strRef>
          </c:tx>
          <c:spPr>
            <a:ln>
              <a:solidFill>
                <a:srgbClr val="4F81BD"/>
              </a:solidFill>
            </a:ln>
          </c:spPr>
          <c:marker>
            <c:spPr>
              <a:solidFill>
                <a:srgbClr val="4F81BD"/>
              </a:solidFill>
              <a:ln>
                <a:solidFill>
                  <a:srgbClr val="4F81BD"/>
                </a:solidFill>
              </a:ln>
            </c:spPr>
          </c:marker>
          <c:cat>
            <c:strRef>
              <c:f>Cell_Count_GRU!$I$5:$I$10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Cell_Count_GRU!$N$5:$N$10</c:f>
              <c:numCache>
                <c:formatCode>0.00</c:formatCode>
                <c:ptCount val="6"/>
                <c:pt idx="0">
                  <c:v>0.52325</c:v>
                </c:pt>
                <c:pt idx="1">
                  <c:v>0.523166666666667</c:v>
                </c:pt>
                <c:pt idx="2">
                  <c:v>0.529083333333333</c:v>
                </c:pt>
                <c:pt idx="3">
                  <c:v>0.531208333333333</c:v>
                </c:pt>
                <c:pt idx="4">
                  <c:v>0.531</c:v>
                </c:pt>
                <c:pt idx="5">
                  <c:v>0.531</c:v>
                </c:pt>
              </c:numCache>
            </c:numRef>
          </c:val>
          <c:smooth val="0"/>
        </c:ser>
        <c:ser>
          <c:idx val="5"/>
          <c:order val="2"/>
          <c:tx>
            <c:strRef>
              <c:f>Cell_Count_GRU!$O$4</c:f>
              <c:strCache>
                <c:ptCount val="1"/>
                <c:pt idx="0">
                  <c:v>64 - min acc</c:v>
                </c:pt>
              </c:strCache>
            </c:strRef>
          </c:tx>
          <c:spPr>
            <a:ln>
              <a:solidFill>
                <a:srgbClr val="DCE6F2"/>
              </a:solidFill>
            </a:ln>
          </c:spPr>
          <c:marker>
            <c:symbol val="square"/>
            <c:size val="9"/>
            <c:spPr>
              <a:solidFill>
                <a:srgbClr val="DCE6F2"/>
              </a:solidFill>
              <a:ln>
                <a:solidFill>
                  <a:srgbClr val="DCE6F2"/>
                </a:solidFill>
              </a:ln>
            </c:spPr>
          </c:marker>
          <c:cat>
            <c:strRef>
              <c:f>Cell_Count_GRU!$I$5:$I$10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Cell_Count_GRU!$O$5:$O$10</c:f>
              <c:numCache>
                <c:formatCode>0.00</c:formatCode>
                <c:ptCount val="6"/>
                <c:pt idx="0">
                  <c:v>0.5075</c:v>
                </c:pt>
                <c:pt idx="1">
                  <c:v>0.4995</c:v>
                </c:pt>
                <c:pt idx="2">
                  <c:v>0.5055</c:v>
                </c:pt>
                <c:pt idx="3">
                  <c:v>0.501</c:v>
                </c:pt>
                <c:pt idx="4">
                  <c:v>0.492</c:v>
                </c:pt>
                <c:pt idx="5">
                  <c:v>0.499</c:v>
                </c:pt>
              </c:numCache>
            </c:numRef>
          </c:val>
          <c:smooth val="0"/>
        </c:ser>
        <c:ser>
          <c:idx val="6"/>
          <c:order val="3"/>
          <c:tx>
            <c:strRef>
              <c:f>Cell_Count_GRU!$S$4</c:f>
              <c:strCache>
                <c:ptCount val="1"/>
                <c:pt idx="0">
                  <c:v>128 - max of acc</c:v>
                </c:pt>
              </c:strCache>
            </c:strRef>
          </c:tx>
          <c:spPr>
            <a:ln>
              <a:solidFill>
                <a:srgbClr val="F2DCDB"/>
              </a:solidFill>
            </a:ln>
          </c:spPr>
          <c:marker>
            <c:spPr>
              <a:solidFill>
                <a:srgbClr val="F2DCDB"/>
              </a:solidFill>
              <a:ln>
                <a:solidFill>
                  <a:srgbClr val="F2DCDB"/>
                </a:solidFill>
              </a:ln>
            </c:spPr>
          </c:marker>
          <c:dPt>
            <c:idx val="0"/>
            <c:marker>
              <c:symbol val="triangle"/>
              <c:size val="9"/>
            </c:marker>
            <c:bubble3D val="0"/>
          </c:dPt>
          <c:cat>
            <c:strRef>
              <c:f>Cell_Count_GRU!$I$5:$I$10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Cell_Count_GRU!$S$5:$S$10</c:f>
              <c:numCache>
                <c:formatCode>0.00</c:formatCode>
                <c:ptCount val="6"/>
                <c:pt idx="0">
                  <c:v>0.559</c:v>
                </c:pt>
                <c:pt idx="1">
                  <c:v>0.56</c:v>
                </c:pt>
                <c:pt idx="2">
                  <c:v>0.5615</c:v>
                </c:pt>
                <c:pt idx="3">
                  <c:v>0.559</c:v>
                </c:pt>
                <c:pt idx="4">
                  <c:v>0.552</c:v>
                </c:pt>
                <c:pt idx="5">
                  <c:v>0.555</c:v>
                </c:pt>
              </c:numCache>
            </c:numRef>
          </c:val>
          <c:smooth val="0"/>
        </c:ser>
        <c:ser>
          <c:idx val="7"/>
          <c:order val="4"/>
          <c:tx>
            <c:strRef>
              <c:f>Cell_Count_GRU!$T$4</c:f>
              <c:strCache>
                <c:ptCount val="1"/>
                <c:pt idx="0">
                  <c:v>128 - avg acc</c:v>
                </c:pt>
              </c:strCache>
            </c:strRef>
          </c:tx>
          <c:marker>
            <c:symbol val="triangle"/>
            <c:size val="9"/>
          </c:marker>
          <c:cat>
            <c:strRef>
              <c:f>Cell_Count_GRU!$I$5:$I$10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Cell_Count_GRU!$T$5:$T$10</c:f>
              <c:numCache>
                <c:formatCode>0.00</c:formatCode>
                <c:ptCount val="6"/>
                <c:pt idx="0">
                  <c:v>0.539291666666667</c:v>
                </c:pt>
                <c:pt idx="1">
                  <c:v>0.536041666666667</c:v>
                </c:pt>
                <c:pt idx="2">
                  <c:v>0.542041666666667</c:v>
                </c:pt>
                <c:pt idx="3">
                  <c:v>0.53975</c:v>
                </c:pt>
                <c:pt idx="4">
                  <c:v>0.5355</c:v>
                </c:pt>
                <c:pt idx="5">
                  <c:v>0.539125</c:v>
                </c:pt>
              </c:numCache>
            </c:numRef>
          </c:val>
          <c:smooth val="0"/>
        </c:ser>
        <c:ser>
          <c:idx val="8"/>
          <c:order val="5"/>
          <c:tx>
            <c:strRef>
              <c:f>Cell_Count_GRU!$U$4</c:f>
              <c:strCache>
                <c:ptCount val="1"/>
                <c:pt idx="0">
                  <c:v>128 - min acc</c:v>
                </c:pt>
              </c:strCache>
            </c:strRef>
          </c:tx>
          <c:spPr>
            <a:ln>
              <a:solidFill>
                <a:schemeClr val="accent2">
                  <a:lumMod val="20000"/>
                  <a:lumOff val="80000"/>
                </a:schemeClr>
              </a:solidFill>
            </a:ln>
          </c:spPr>
          <c:marker>
            <c:symbol val="triangle"/>
            <c:size val="9"/>
            <c:spPr>
              <a:solidFill>
                <a:schemeClr val="accent2">
                  <a:lumMod val="20000"/>
                  <a:lumOff val="80000"/>
                </a:schemeClr>
              </a:solidFill>
              <a:ln>
                <a:solidFill>
                  <a:schemeClr val="accent2">
                    <a:lumMod val="20000"/>
                    <a:lumOff val="80000"/>
                  </a:schemeClr>
                </a:solidFill>
              </a:ln>
            </c:spPr>
          </c:marker>
          <c:cat>
            <c:strRef>
              <c:f>Cell_Count_GRU!$I$5:$I$10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Cell_Count_GRU!$U$5:$U$10</c:f>
              <c:numCache>
                <c:formatCode>0.00</c:formatCode>
                <c:ptCount val="6"/>
                <c:pt idx="0">
                  <c:v>0.508</c:v>
                </c:pt>
                <c:pt idx="1">
                  <c:v>0.496</c:v>
                </c:pt>
                <c:pt idx="2">
                  <c:v>0.4945</c:v>
                </c:pt>
                <c:pt idx="3">
                  <c:v>0.516</c:v>
                </c:pt>
                <c:pt idx="4">
                  <c:v>0.5035</c:v>
                </c:pt>
                <c:pt idx="5">
                  <c:v>0.5145</c:v>
                </c:pt>
              </c:numCache>
            </c:numRef>
          </c:val>
          <c:smooth val="0"/>
        </c:ser>
        <c:ser>
          <c:idx val="15"/>
          <c:order val="6"/>
          <c:tx>
            <c:strRef>
              <c:f>Cell_Count_GRU!$Y$4</c:f>
              <c:strCache>
                <c:ptCount val="1"/>
                <c:pt idx="0">
                  <c:v>256 - max of acc</c:v>
                </c:pt>
              </c:strCache>
            </c:strRef>
          </c:tx>
          <c:spPr>
            <a:ln>
              <a:solidFill>
                <a:schemeClr val="accent3">
                  <a:lumMod val="40000"/>
                  <a:lumOff val="60000"/>
                </a:schemeClr>
              </a:solidFill>
            </a:ln>
          </c:spPr>
          <c:marker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40000"/>
                    <a:lumOff val="60000"/>
                  </a:schemeClr>
                </a:solidFill>
              </a:ln>
            </c:spPr>
          </c:marker>
          <c:cat>
            <c:strRef>
              <c:f>Cell_Count_GRU!$I$5:$I$10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Cell_Count_GRU!$Y$5:$Y$10</c:f>
              <c:numCache>
                <c:formatCode>0.00</c:formatCode>
                <c:ptCount val="6"/>
                <c:pt idx="0">
                  <c:v>0.5515</c:v>
                </c:pt>
                <c:pt idx="1">
                  <c:v>0.566</c:v>
                </c:pt>
                <c:pt idx="2">
                  <c:v>0.559</c:v>
                </c:pt>
                <c:pt idx="3">
                  <c:v>0.5735</c:v>
                </c:pt>
                <c:pt idx="4">
                  <c:v>0.5605</c:v>
                </c:pt>
                <c:pt idx="5">
                  <c:v>0.567</c:v>
                </c:pt>
              </c:numCache>
            </c:numRef>
          </c:val>
          <c:smooth val="0"/>
        </c:ser>
        <c:ser>
          <c:idx val="16"/>
          <c:order val="7"/>
          <c:tx>
            <c:strRef>
              <c:f>Cell_Count_GRU!$Z$4</c:f>
              <c:strCache>
                <c:ptCount val="1"/>
                <c:pt idx="0">
                  <c:v>256 - avg acc</c:v>
                </c:pt>
              </c:strCache>
            </c:strRef>
          </c:tx>
          <c:spPr>
            <a:ln>
              <a:solidFill>
                <a:srgbClr val="9BBB59"/>
              </a:solidFill>
            </a:ln>
          </c:spPr>
          <c:marker>
            <c:symbol val="x"/>
            <c:size val="9"/>
            <c:spPr>
              <a:solidFill>
                <a:srgbClr val="9BBB59"/>
              </a:solidFill>
              <a:ln>
                <a:solidFill>
                  <a:srgbClr val="9BBB59"/>
                </a:solidFill>
              </a:ln>
            </c:spPr>
          </c:marker>
          <c:cat>
            <c:strRef>
              <c:f>Cell_Count_GRU!$I$5:$I$10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Cell_Count_GRU!$Z$5:$Z$10</c:f>
              <c:numCache>
                <c:formatCode>0.00</c:formatCode>
                <c:ptCount val="6"/>
                <c:pt idx="0">
                  <c:v>0.541583333333333</c:v>
                </c:pt>
                <c:pt idx="1">
                  <c:v>0.542791666666667</c:v>
                </c:pt>
                <c:pt idx="2">
                  <c:v>0.539125</c:v>
                </c:pt>
                <c:pt idx="3">
                  <c:v>0.542875</c:v>
                </c:pt>
                <c:pt idx="4">
                  <c:v>0.542125</c:v>
                </c:pt>
                <c:pt idx="5">
                  <c:v>0.539708333333333</c:v>
                </c:pt>
              </c:numCache>
            </c:numRef>
          </c:val>
          <c:smooth val="0"/>
        </c:ser>
        <c:ser>
          <c:idx val="17"/>
          <c:order val="8"/>
          <c:tx>
            <c:strRef>
              <c:f>Cell_Count_GRU!$AA$4</c:f>
              <c:strCache>
                <c:ptCount val="1"/>
                <c:pt idx="0">
                  <c:v>256 - min acc</c:v>
                </c:pt>
              </c:strCache>
            </c:strRef>
          </c:tx>
          <c:spPr>
            <a:ln>
              <a:solidFill>
                <a:srgbClr val="D7E4BD"/>
              </a:solidFill>
            </a:ln>
          </c:spPr>
          <c:marker>
            <c:symbol val="x"/>
            <c:size val="9"/>
            <c:spPr>
              <a:solidFill>
                <a:srgbClr val="D7E4BD"/>
              </a:solidFill>
              <a:ln>
                <a:solidFill>
                  <a:srgbClr val="D7E4BD"/>
                </a:solidFill>
              </a:ln>
            </c:spPr>
          </c:marker>
          <c:cat>
            <c:strRef>
              <c:f>Cell_Count_GRU!$I$5:$I$10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Cell_Count_GRU!$AA$5:$AA$10</c:f>
              <c:numCache>
                <c:formatCode>0.00</c:formatCode>
                <c:ptCount val="6"/>
                <c:pt idx="0">
                  <c:v>0.5185</c:v>
                </c:pt>
                <c:pt idx="1">
                  <c:v>0.522</c:v>
                </c:pt>
                <c:pt idx="2">
                  <c:v>0.5195</c:v>
                </c:pt>
                <c:pt idx="3">
                  <c:v>0.5155</c:v>
                </c:pt>
                <c:pt idx="4">
                  <c:v>0.5185</c:v>
                </c:pt>
                <c:pt idx="5">
                  <c:v>0.5115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5563896"/>
        <c:axId val="2134237640"/>
      </c:lineChart>
      <c:catAx>
        <c:axId val="-2145563896"/>
        <c:scaling>
          <c:orientation val="minMax"/>
        </c:scaling>
        <c:delete val="0"/>
        <c:axPos val="b"/>
        <c:majorTickMark val="out"/>
        <c:minorTickMark val="none"/>
        <c:tickLblPos val="nextTo"/>
        <c:crossAx val="2134237640"/>
        <c:crosses val="autoZero"/>
        <c:auto val="1"/>
        <c:lblAlgn val="ctr"/>
        <c:lblOffset val="100"/>
        <c:noMultiLvlLbl val="0"/>
      </c:catAx>
      <c:valAx>
        <c:axId val="2134237640"/>
        <c:scaling>
          <c:orientation val="minMax"/>
          <c:min val="0.46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1455638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LSTM Loss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Cell_Count_LSTM!$J$4</c:f>
              <c:strCache>
                <c:ptCount val="1"/>
                <c:pt idx="0">
                  <c:v>64 - max loss</c:v>
                </c:pt>
              </c:strCache>
            </c:strRef>
          </c:tx>
          <c:spPr>
            <a:ln>
              <a:solidFill>
                <a:schemeClr val="tx2">
                  <a:lumMod val="20000"/>
                  <a:lumOff val="80000"/>
                </a:schemeClr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20000"/>
                  <a:lumOff val="80000"/>
                </a:schemeClr>
              </a:solidFill>
              <a:ln>
                <a:solidFill>
                  <a:schemeClr val="tx2">
                    <a:lumMod val="20000"/>
                    <a:lumOff val="80000"/>
                  </a:schemeClr>
                </a:solidFill>
              </a:ln>
            </c:spPr>
          </c:marker>
          <c:cat>
            <c:strRef>
              <c:f>Cell_Count_LSTM!$I$5:$I$10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Cell_Count_LSTM!$J$5:$J$10</c:f>
              <c:numCache>
                <c:formatCode>0.00</c:formatCode>
                <c:ptCount val="6"/>
                <c:pt idx="0">
                  <c:v>2.2813</c:v>
                </c:pt>
                <c:pt idx="1">
                  <c:v>2.4166</c:v>
                </c:pt>
                <c:pt idx="2">
                  <c:v>2.4243</c:v>
                </c:pt>
                <c:pt idx="3">
                  <c:v>2.4975</c:v>
                </c:pt>
                <c:pt idx="4">
                  <c:v>2.511</c:v>
                </c:pt>
                <c:pt idx="5">
                  <c:v>2.6053</c:v>
                </c:pt>
              </c:numCache>
            </c:numRef>
          </c:val>
          <c:smooth val="0"/>
        </c:ser>
        <c:ser>
          <c:idx val="7"/>
          <c:order val="1"/>
          <c:tx>
            <c:strRef>
              <c:f>Cell_Count_LSTM!$K$4</c:f>
              <c:strCache>
                <c:ptCount val="1"/>
                <c:pt idx="0">
                  <c:v>64 - avg loss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9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cat>
            <c:strRef>
              <c:f>Cell_Count_LSTM!$I$5:$I$10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Cell_Count_LSTM!$K$5:$K$10</c:f>
              <c:numCache>
                <c:formatCode>0.00</c:formatCode>
                <c:ptCount val="6"/>
                <c:pt idx="0">
                  <c:v>1.963275</c:v>
                </c:pt>
                <c:pt idx="1">
                  <c:v>1.981545833333333</c:v>
                </c:pt>
                <c:pt idx="2">
                  <c:v>1.995995833333333</c:v>
                </c:pt>
                <c:pt idx="3">
                  <c:v>2.026183333333333</c:v>
                </c:pt>
                <c:pt idx="4">
                  <c:v>2.0527625</c:v>
                </c:pt>
                <c:pt idx="5">
                  <c:v>2.079145833333333</c:v>
                </c:pt>
              </c:numCache>
            </c:numRef>
          </c:val>
          <c:smooth val="0"/>
        </c:ser>
        <c:ser>
          <c:idx val="8"/>
          <c:order val="2"/>
          <c:tx>
            <c:strRef>
              <c:f>Cell_Count_LSTM!$L$4</c:f>
              <c:strCache>
                <c:ptCount val="1"/>
                <c:pt idx="0">
                  <c:v>64 - min loss</c:v>
                </c:pt>
              </c:strCache>
            </c:strRef>
          </c:tx>
          <c:spPr>
            <a:ln>
              <a:solidFill>
                <a:schemeClr val="accent1">
                  <a:lumMod val="40000"/>
                  <a:lumOff val="60000"/>
                </a:schemeClr>
              </a:solidFill>
            </a:ln>
          </c:spPr>
          <c:marker>
            <c:symbol val="circle"/>
            <c:size val="9"/>
            <c:spPr>
              <a:solidFill>
                <a:schemeClr val="accent1">
                  <a:lumMod val="40000"/>
                  <a:lumOff val="60000"/>
                </a:schemeClr>
              </a:solidFill>
              <a:ln>
                <a:solidFill>
                  <a:schemeClr val="accent1">
                    <a:lumMod val="40000"/>
                    <a:lumOff val="60000"/>
                  </a:schemeClr>
                </a:solidFill>
              </a:ln>
            </c:spPr>
          </c:marker>
          <c:cat>
            <c:strRef>
              <c:f>Cell_Count_LSTM!$I$5:$I$10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Cell_Count_LSTM!$L$5:$L$10</c:f>
              <c:numCache>
                <c:formatCode>0.00</c:formatCode>
                <c:ptCount val="6"/>
                <c:pt idx="0">
                  <c:v>1.7635</c:v>
                </c:pt>
                <c:pt idx="1">
                  <c:v>1.6642</c:v>
                </c:pt>
                <c:pt idx="2">
                  <c:v>1.7235</c:v>
                </c:pt>
                <c:pt idx="3">
                  <c:v>1.7457</c:v>
                </c:pt>
                <c:pt idx="4">
                  <c:v>1.7074</c:v>
                </c:pt>
                <c:pt idx="5">
                  <c:v>1.695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Cell_Count_LSTM!$P$4</c:f>
              <c:strCache>
                <c:ptCount val="1"/>
                <c:pt idx="0">
                  <c:v>128 - max loss</c:v>
                </c:pt>
              </c:strCache>
            </c:strRef>
          </c:tx>
          <c:spPr>
            <a:ln>
              <a:solidFill>
                <a:schemeClr val="accent2">
                  <a:lumMod val="20000"/>
                  <a:lumOff val="80000"/>
                </a:schemeClr>
              </a:solidFill>
            </a:ln>
          </c:spPr>
          <c:marker>
            <c:symbol val="triangle"/>
            <c:size val="9"/>
            <c:spPr>
              <a:solidFill>
                <a:schemeClr val="accent2">
                  <a:lumMod val="20000"/>
                  <a:lumOff val="80000"/>
                </a:schemeClr>
              </a:solidFill>
              <a:ln>
                <a:solidFill>
                  <a:schemeClr val="accent2">
                    <a:lumMod val="20000"/>
                    <a:lumOff val="80000"/>
                  </a:schemeClr>
                </a:solidFill>
              </a:ln>
            </c:spPr>
          </c:marker>
          <c:cat>
            <c:strRef>
              <c:f>Cell_Count_LSTM!$I$5:$I$10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Cell_Count_LSTM!$P$5:$P$10</c:f>
              <c:numCache>
                <c:formatCode>0.00</c:formatCode>
                <c:ptCount val="6"/>
                <c:pt idx="0">
                  <c:v>2.2658</c:v>
                </c:pt>
                <c:pt idx="1">
                  <c:v>2.4002</c:v>
                </c:pt>
                <c:pt idx="2">
                  <c:v>2.3662</c:v>
                </c:pt>
                <c:pt idx="3">
                  <c:v>2.5338</c:v>
                </c:pt>
                <c:pt idx="4">
                  <c:v>2.4652</c:v>
                </c:pt>
                <c:pt idx="5">
                  <c:v>2.4911</c:v>
                </c:pt>
              </c:numCache>
            </c:numRef>
          </c:val>
          <c:smooth val="0"/>
        </c:ser>
        <c:ser>
          <c:idx val="1"/>
          <c:order val="4"/>
          <c:tx>
            <c:strRef>
              <c:f>Cell_Count_LSTM!$Q$4</c:f>
              <c:strCache>
                <c:ptCount val="1"/>
                <c:pt idx="0">
                  <c:v>128 - avg loss</c:v>
                </c:pt>
              </c:strCache>
            </c:strRef>
          </c:tx>
          <c:marker>
            <c:symbol val="triangle"/>
            <c:size val="9"/>
          </c:marker>
          <c:cat>
            <c:strRef>
              <c:f>Cell_Count_LSTM!$I$5:$I$10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Cell_Count_LSTM!$Q$5:$Q$10</c:f>
              <c:numCache>
                <c:formatCode>0.00</c:formatCode>
                <c:ptCount val="6"/>
                <c:pt idx="0">
                  <c:v>1.909683333333334</c:v>
                </c:pt>
                <c:pt idx="1">
                  <c:v>1.936291666666667</c:v>
                </c:pt>
                <c:pt idx="2">
                  <c:v>1.956079166666667</c:v>
                </c:pt>
                <c:pt idx="3">
                  <c:v>1.974237499999999</c:v>
                </c:pt>
                <c:pt idx="4">
                  <c:v>2.018516666666666</c:v>
                </c:pt>
                <c:pt idx="5">
                  <c:v>2.019220833333333</c:v>
                </c:pt>
              </c:numCache>
            </c:numRef>
          </c:val>
          <c:smooth val="0"/>
        </c:ser>
        <c:ser>
          <c:idx val="2"/>
          <c:order val="5"/>
          <c:tx>
            <c:strRef>
              <c:f>Cell_Count_LSTM!$R$4</c:f>
              <c:strCache>
                <c:ptCount val="1"/>
                <c:pt idx="0">
                  <c:v>128 - min loss</c:v>
                </c:pt>
              </c:strCache>
            </c:strRef>
          </c:tx>
          <c:spPr>
            <a:ln>
              <a:solidFill>
                <a:schemeClr val="accent2">
                  <a:lumMod val="20000"/>
                  <a:lumOff val="80000"/>
                </a:schemeClr>
              </a:solidFill>
            </a:ln>
          </c:spPr>
          <c:marker>
            <c:spPr>
              <a:solidFill>
                <a:schemeClr val="accent2">
                  <a:lumMod val="20000"/>
                  <a:lumOff val="80000"/>
                </a:schemeClr>
              </a:solidFill>
              <a:ln>
                <a:solidFill>
                  <a:schemeClr val="accent2">
                    <a:lumMod val="20000"/>
                    <a:lumOff val="80000"/>
                  </a:schemeClr>
                </a:solidFill>
              </a:ln>
            </c:spPr>
          </c:marker>
          <c:cat>
            <c:strRef>
              <c:f>Cell_Count_LSTM!$I$5:$I$10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Cell_Count_LSTM!$R$5:$R$10</c:f>
              <c:numCache>
                <c:formatCode>0.00</c:formatCode>
                <c:ptCount val="6"/>
                <c:pt idx="0">
                  <c:v>1.6588</c:v>
                </c:pt>
                <c:pt idx="1">
                  <c:v>1.6237</c:v>
                </c:pt>
                <c:pt idx="2">
                  <c:v>1.6406</c:v>
                </c:pt>
                <c:pt idx="3">
                  <c:v>1.6688</c:v>
                </c:pt>
                <c:pt idx="4">
                  <c:v>1.626</c:v>
                </c:pt>
                <c:pt idx="5">
                  <c:v>1.6637</c:v>
                </c:pt>
              </c:numCache>
            </c:numRef>
          </c:val>
          <c:smooth val="0"/>
        </c:ser>
        <c:ser>
          <c:idx val="12"/>
          <c:order val="6"/>
          <c:tx>
            <c:strRef>
              <c:f>Cell_Count_LSTM!$V$4</c:f>
              <c:strCache>
                <c:ptCount val="1"/>
                <c:pt idx="0">
                  <c:v>256 - max loss</c:v>
                </c:pt>
              </c:strCache>
            </c:strRef>
          </c:tx>
          <c:spPr>
            <a:ln>
              <a:solidFill>
                <a:schemeClr val="accent3">
                  <a:lumMod val="40000"/>
                  <a:lumOff val="60000"/>
                </a:schemeClr>
              </a:solidFill>
            </a:ln>
          </c:spPr>
          <c:marker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40000"/>
                    <a:lumOff val="60000"/>
                  </a:schemeClr>
                </a:solidFill>
              </a:ln>
            </c:spPr>
          </c:marker>
          <c:cat>
            <c:strRef>
              <c:f>Cell_Count_LSTM!$I$5:$I$10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Cell_Count_LSTM!$V$5:$V$10</c:f>
              <c:numCache>
                <c:formatCode>0.00</c:formatCode>
                <c:ptCount val="6"/>
                <c:pt idx="0">
                  <c:v>2.3136</c:v>
                </c:pt>
                <c:pt idx="1">
                  <c:v>2.3171</c:v>
                </c:pt>
                <c:pt idx="2">
                  <c:v>2.3316</c:v>
                </c:pt>
                <c:pt idx="3">
                  <c:v>2.4964</c:v>
                </c:pt>
                <c:pt idx="4">
                  <c:v>2.516</c:v>
                </c:pt>
                <c:pt idx="5">
                  <c:v>2.4616</c:v>
                </c:pt>
              </c:numCache>
            </c:numRef>
          </c:val>
          <c:smooth val="0"/>
        </c:ser>
        <c:ser>
          <c:idx val="13"/>
          <c:order val="7"/>
          <c:tx>
            <c:strRef>
              <c:f>Cell_Count_LSTM!$W$4</c:f>
              <c:strCache>
                <c:ptCount val="1"/>
                <c:pt idx="0">
                  <c:v>256 - avg loss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cat>
            <c:strRef>
              <c:f>Cell_Count_LSTM!$I$5:$I$10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Cell_Count_LSTM!$W$5:$W$10</c:f>
              <c:numCache>
                <c:formatCode>0.00</c:formatCode>
                <c:ptCount val="6"/>
                <c:pt idx="0">
                  <c:v>1.897008695652174</c:v>
                </c:pt>
                <c:pt idx="1">
                  <c:v>1.885439130434783</c:v>
                </c:pt>
                <c:pt idx="2">
                  <c:v>1.902308695652174</c:v>
                </c:pt>
                <c:pt idx="3">
                  <c:v>1.947813043478261</c:v>
                </c:pt>
                <c:pt idx="4">
                  <c:v>1.983539130434783</c:v>
                </c:pt>
                <c:pt idx="5">
                  <c:v>1.989473913043478</c:v>
                </c:pt>
              </c:numCache>
            </c:numRef>
          </c:val>
          <c:smooth val="0"/>
        </c:ser>
        <c:ser>
          <c:idx val="14"/>
          <c:order val="8"/>
          <c:tx>
            <c:strRef>
              <c:f>Cell_Count_LSTM!$X$4</c:f>
              <c:strCache>
                <c:ptCount val="1"/>
                <c:pt idx="0">
                  <c:v>256 - min loss</c:v>
                </c:pt>
              </c:strCache>
            </c:strRef>
          </c:tx>
          <c:marker>
            <c:symbol val="square"/>
            <c:size val="9"/>
          </c:marker>
          <c:cat>
            <c:strRef>
              <c:f>Cell_Count_LSTM!$I$5:$I$10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Cell_Count_LSTM!$X$5:$X$10</c:f>
              <c:numCache>
                <c:formatCode>0.00</c:formatCode>
                <c:ptCount val="6"/>
                <c:pt idx="0">
                  <c:v>1.663</c:v>
                </c:pt>
                <c:pt idx="1">
                  <c:v>1.6863</c:v>
                </c:pt>
                <c:pt idx="2">
                  <c:v>1.6083</c:v>
                </c:pt>
                <c:pt idx="3">
                  <c:v>1.6809</c:v>
                </c:pt>
                <c:pt idx="4">
                  <c:v>1.6723</c:v>
                </c:pt>
                <c:pt idx="5">
                  <c:v>1.6587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2648232"/>
        <c:axId val="-2145978824"/>
      </c:lineChart>
      <c:catAx>
        <c:axId val="-2142648232"/>
        <c:scaling>
          <c:orientation val="minMax"/>
        </c:scaling>
        <c:delete val="0"/>
        <c:axPos val="b"/>
        <c:majorTickMark val="out"/>
        <c:minorTickMark val="none"/>
        <c:tickLblPos val="nextTo"/>
        <c:crossAx val="-2145978824"/>
        <c:crosses val="autoZero"/>
        <c:auto val="1"/>
        <c:lblAlgn val="ctr"/>
        <c:lblOffset val="100"/>
        <c:noMultiLvlLbl val="0"/>
      </c:catAx>
      <c:valAx>
        <c:axId val="-2145978824"/>
        <c:scaling>
          <c:orientation val="minMax"/>
          <c:min val="1.4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1426482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LSTM Accuracy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Cell_Count_LSTM!$M$4</c:f>
              <c:strCache>
                <c:ptCount val="1"/>
                <c:pt idx="0">
                  <c:v>64 - max of acc</c:v>
                </c:pt>
              </c:strCache>
            </c:strRef>
          </c:tx>
          <c:spPr>
            <a:ln>
              <a:solidFill>
                <a:srgbClr val="C6D9F1"/>
              </a:solidFill>
            </a:ln>
          </c:spPr>
          <c:marker>
            <c:spPr>
              <a:solidFill>
                <a:srgbClr val="C6D9F1"/>
              </a:solidFill>
              <a:ln>
                <a:solidFill>
                  <a:srgbClr val="C6D9F1"/>
                </a:solidFill>
              </a:ln>
            </c:spPr>
          </c:marker>
          <c:cat>
            <c:strRef>
              <c:f>Cell_Count_LSTM!$I$5:$I$10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Cell_Count_LSTM!$M$5:$M$10</c:f>
              <c:numCache>
                <c:formatCode>0.00</c:formatCode>
                <c:ptCount val="6"/>
                <c:pt idx="0">
                  <c:v>0.53</c:v>
                </c:pt>
                <c:pt idx="1">
                  <c:v>0.556</c:v>
                </c:pt>
                <c:pt idx="2">
                  <c:v>0.5535</c:v>
                </c:pt>
                <c:pt idx="3">
                  <c:v>0.558</c:v>
                </c:pt>
                <c:pt idx="4">
                  <c:v>0.5595</c:v>
                </c:pt>
                <c:pt idx="5">
                  <c:v>0.568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Cell_Count_LSTM!$N$4</c:f>
              <c:strCache>
                <c:ptCount val="1"/>
                <c:pt idx="0">
                  <c:v>64 - avg acc</c:v>
                </c:pt>
              </c:strCache>
            </c:strRef>
          </c:tx>
          <c:spPr>
            <a:ln>
              <a:solidFill>
                <a:srgbClr val="4F81BD"/>
              </a:solidFill>
            </a:ln>
          </c:spPr>
          <c:marker>
            <c:spPr>
              <a:solidFill>
                <a:srgbClr val="4F81BD"/>
              </a:solidFill>
              <a:ln>
                <a:solidFill>
                  <a:srgbClr val="4F81BD"/>
                </a:solidFill>
              </a:ln>
            </c:spPr>
          </c:marker>
          <c:cat>
            <c:strRef>
              <c:f>Cell_Count_LSTM!$I$5:$I$10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Cell_Count_LSTM!$N$5:$N$10</c:f>
              <c:numCache>
                <c:formatCode>0.00</c:formatCode>
                <c:ptCount val="6"/>
                <c:pt idx="0">
                  <c:v>0.514020833333333</c:v>
                </c:pt>
                <c:pt idx="1">
                  <c:v>0.5204375</c:v>
                </c:pt>
                <c:pt idx="2">
                  <c:v>0.5240625</c:v>
                </c:pt>
                <c:pt idx="3">
                  <c:v>0.525625</c:v>
                </c:pt>
                <c:pt idx="4">
                  <c:v>0.525375</c:v>
                </c:pt>
                <c:pt idx="5">
                  <c:v>0.526479166666667</c:v>
                </c:pt>
              </c:numCache>
            </c:numRef>
          </c:val>
          <c:smooth val="0"/>
        </c:ser>
        <c:ser>
          <c:idx val="5"/>
          <c:order val="2"/>
          <c:tx>
            <c:strRef>
              <c:f>Cell_Count_LSTM!$O$4</c:f>
              <c:strCache>
                <c:ptCount val="1"/>
                <c:pt idx="0">
                  <c:v>64 - min acc</c:v>
                </c:pt>
              </c:strCache>
            </c:strRef>
          </c:tx>
          <c:spPr>
            <a:ln>
              <a:solidFill>
                <a:srgbClr val="DCE6F2"/>
              </a:solidFill>
            </a:ln>
          </c:spPr>
          <c:marker>
            <c:symbol val="square"/>
            <c:size val="9"/>
            <c:spPr>
              <a:solidFill>
                <a:srgbClr val="DCE6F2"/>
              </a:solidFill>
              <a:ln>
                <a:solidFill>
                  <a:srgbClr val="DCE6F2"/>
                </a:solidFill>
              </a:ln>
            </c:spPr>
          </c:marker>
          <c:cat>
            <c:strRef>
              <c:f>Cell_Count_LSTM!$I$5:$I$10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Cell_Count_LSTM!$O$5:$O$10</c:f>
              <c:numCache>
                <c:formatCode>0.00</c:formatCode>
                <c:ptCount val="6"/>
                <c:pt idx="0">
                  <c:v>0.4845</c:v>
                </c:pt>
                <c:pt idx="1">
                  <c:v>0.492</c:v>
                </c:pt>
                <c:pt idx="2">
                  <c:v>0.485</c:v>
                </c:pt>
                <c:pt idx="3">
                  <c:v>0.4715</c:v>
                </c:pt>
                <c:pt idx="4">
                  <c:v>0.497</c:v>
                </c:pt>
                <c:pt idx="5">
                  <c:v>0.489</c:v>
                </c:pt>
              </c:numCache>
            </c:numRef>
          </c:val>
          <c:smooth val="0"/>
        </c:ser>
        <c:ser>
          <c:idx val="6"/>
          <c:order val="3"/>
          <c:tx>
            <c:strRef>
              <c:f>Cell_Count_LSTM!$S$4</c:f>
              <c:strCache>
                <c:ptCount val="1"/>
                <c:pt idx="0">
                  <c:v>128 - max of acc</c:v>
                </c:pt>
              </c:strCache>
            </c:strRef>
          </c:tx>
          <c:spPr>
            <a:ln>
              <a:solidFill>
                <a:srgbClr val="F2DCDB"/>
              </a:solidFill>
            </a:ln>
          </c:spPr>
          <c:marker>
            <c:spPr>
              <a:solidFill>
                <a:srgbClr val="F2DCDB"/>
              </a:solidFill>
              <a:ln>
                <a:solidFill>
                  <a:srgbClr val="F2DCDB"/>
                </a:solidFill>
              </a:ln>
            </c:spPr>
          </c:marker>
          <c:dPt>
            <c:idx val="0"/>
            <c:marker>
              <c:symbol val="triangle"/>
              <c:size val="9"/>
            </c:marker>
            <c:bubble3D val="0"/>
          </c:dPt>
          <c:cat>
            <c:strRef>
              <c:f>Cell_Count_LSTM!$I$5:$I$10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Cell_Count_LSTM!$S$5:$S$10</c:f>
              <c:numCache>
                <c:formatCode>0.00</c:formatCode>
                <c:ptCount val="6"/>
                <c:pt idx="0">
                  <c:v>0.5545</c:v>
                </c:pt>
                <c:pt idx="1">
                  <c:v>0.563</c:v>
                </c:pt>
                <c:pt idx="2">
                  <c:v>0.5685</c:v>
                </c:pt>
                <c:pt idx="3">
                  <c:v>0.554</c:v>
                </c:pt>
                <c:pt idx="4">
                  <c:v>0.556</c:v>
                </c:pt>
                <c:pt idx="5">
                  <c:v>0.567</c:v>
                </c:pt>
              </c:numCache>
            </c:numRef>
          </c:val>
          <c:smooth val="0"/>
        </c:ser>
        <c:ser>
          <c:idx val="7"/>
          <c:order val="4"/>
          <c:tx>
            <c:strRef>
              <c:f>Cell_Count_LSTM!$T$4</c:f>
              <c:strCache>
                <c:ptCount val="1"/>
                <c:pt idx="0">
                  <c:v>128 - avg acc</c:v>
                </c:pt>
              </c:strCache>
            </c:strRef>
          </c:tx>
          <c:marker>
            <c:symbol val="triangle"/>
            <c:size val="9"/>
          </c:marker>
          <c:cat>
            <c:strRef>
              <c:f>Cell_Count_LSTM!$I$5:$I$10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Cell_Count_LSTM!$T$5:$T$10</c:f>
              <c:numCache>
                <c:formatCode>0.00</c:formatCode>
                <c:ptCount val="6"/>
                <c:pt idx="0">
                  <c:v>0.522104166666667</c:v>
                </c:pt>
                <c:pt idx="1">
                  <c:v>0.526833333333333</c:v>
                </c:pt>
                <c:pt idx="2">
                  <c:v>0.530458333333333</c:v>
                </c:pt>
                <c:pt idx="3">
                  <c:v>0.529770833333333</c:v>
                </c:pt>
                <c:pt idx="4">
                  <c:v>0.5299375</c:v>
                </c:pt>
                <c:pt idx="5">
                  <c:v>0.528645833333333</c:v>
                </c:pt>
              </c:numCache>
            </c:numRef>
          </c:val>
          <c:smooth val="0"/>
        </c:ser>
        <c:ser>
          <c:idx val="8"/>
          <c:order val="5"/>
          <c:tx>
            <c:strRef>
              <c:f>Cell_Count_LSTM!$U$4</c:f>
              <c:strCache>
                <c:ptCount val="1"/>
                <c:pt idx="0">
                  <c:v>128 - min acc</c:v>
                </c:pt>
              </c:strCache>
            </c:strRef>
          </c:tx>
          <c:spPr>
            <a:ln>
              <a:solidFill>
                <a:schemeClr val="accent2">
                  <a:lumMod val="20000"/>
                  <a:lumOff val="80000"/>
                </a:schemeClr>
              </a:solidFill>
            </a:ln>
          </c:spPr>
          <c:marker>
            <c:symbol val="triangle"/>
            <c:size val="9"/>
            <c:spPr>
              <a:solidFill>
                <a:schemeClr val="accent2">
                  <a:lumMod val="20000"/>
                  <a:lumOff val="80000"/>
                </a:schemeClr>
              </a:solidFill>
              <a:ln>
                <a:solidFill>
                  <a:schemeClr val="accent2">
                    <a:lumMod val="20000"/>
                    <a:lumOff val="80000"/>
                  </a:schemeClr>
                </a:solidFill>
              </a:ln>
            </c:spPr>
          </c:marker>
          <c:cat>
            <c:strRef>
              <c:f>Cell_Count_LSTM!$I$5:$I$10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Cell_Count_LSTM!$U$5:$U$10</c:f>
              <c:numCache>
                <c:formatCode>0.00</c:formatCode>
                <c:ptCount val="6"/>
                <c:pt idx="0">
                  <c:v>0.486</c:v>
                </c:pt>
                <c:pt idx="1">
                  <c:v>0.4955</c:v>
                </c:pt>
                <c:pt idx="2">
                  <c:v>0.508</c:v>
                </c:pt>
                <c:pt idx="3">
                  <c:v>0.497</c:v>
                </c:pt>
                <c:pt idx="4">
                  <c:v>0.504</c:v>
                </c:pt>
                <c:pt idx="5">
                  <c:v>0.4985</c:v>
                </c:pt>
              </c:numCache>
            </c:numRef>
          </c:val>
          <c:smooth val="0"/>
        </c:ser>
        <c:ser>
          <c:idx val="15"/>
          <c:order val="6"/>
          <c:tx>
            <c:strRef>
              <c:f>Cell_Count_LSTM!$Y$4</c:f>
              <c:strCache>
                <c:ptCount val="1"/>
                <c:pt idx="0">
                  <c:v>256 - max of acc</c:v>
                </c:pt>
              </c:strCache>
            </c:strRef>
          </c:tx>
          <c:spPr>
            <a:ln>
              <a:solidFill>
                <a:schemeClr val="accent3">
                  <a:lumMod val="40000"/>
                  <a:lumOff val="60000"/>
                </a:schemeClr>
              </a:solidFill>
            </a:ln>
          </c:spPr>
          <c:marker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40000"/>
                    <a:lumOff val="60000"/>
                  </a:schemeClr>
                </a:solidFill>
              </a:ln>
            </c:spPr>
          </c:marker>
          <c:cat>
            <c:strRef>
              <c:f>Cell_Count_LSTM!$I$5:$I$10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Cell_Count_LSTM!$Y$5:$Y$10</c:f>
              <c:numCache>
                <c:formatCode>0.00</c:formatCode>
                <c:ptCount val="6"/>
                <c:pt idx="0">
                  <c:v>0.5475</c:v>
                </c:pt>
                <c:pt idx="1">
                  <c:v>0.567</c:v>
                </c:pt>
                <c:pt idx="2">
                  <c:v>0.557</c:v>
                </c:pt>
                <c:pt idx="3">
                  <c:v>0.56</c:v>
                </c:pt>
                <c:pt idx="4">
                  <c:v>0.5575</c:v>
                </c:pt>
                <c:pt idx="5">
                  <c:v>0.559</c:v>
                </c:pt>
              </c:numCache>
            </c:numRef>
          </c:val>
          <c:smooth val="0"/>
        </c:ser>
        <c:ser>
          <c:idx val="16"/>
          <c:order val="7"/>
          <c:tx>
            <c:strRef>
              <c:f>Cell_Count_LSTM!$Z$4</c:f>
              <c:strCache>
                <c:ptCount val="1"/>
                <c:pt idx="0">
                  <c:v>256 - avg acc</c:v>
                </c:pt>
              </c:strCache>
            </c:strRef>
          </c:tx>
          <c:spPr>
            <a:ln>
              <a:solidFill>
                <a:srgbClr val="9BBB59"/>
              </a:solidFill>
            </a:ln>
          </c:spPr>
          <c:marker>
            <c:symbol val="x"/>
            <c:size val="9"/>
            <c:spPr>
              <a:solidFill>
                <a:srgbClr val="9BBB59"/>
              </a:solidFill>
              <a:ln>
                <a:solidFill>
                  <a:srgbClr val="9BBB59"/>
                </a:solidFill>
              </a:ln>
            </c:spPr>
          </c:marker>
          <c:cat>
            <c:strRef>
              <c:f>Cell_Count_LSTM!$I$5:$I$10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Cell_Count_LSTM!$Z$5:$Z$10</c:f>
              <c:numCache>
                <c:formatCode>0.00</c:formatCode>
                <c:ptCount val="6"/>
                <c:pt idx="0">
                  <c:v>0.521565217391304</c:v>
                </c:pt>
                <c:pt idx="1">
                  <c:v>0.530804347826087</c:v>
                </c:pt>
                <c:pt idx="2">
                  <c:v>0.533260869565217</c:v>
                </c:pt>
                <c:pt idx="3">
                  <c:v>0.529347826086957</c:v>
                </c:pt>
                <c:pt idx="4">
                  <c:v>0.530043478260869</c:v>
                </c:pt>
                <c:pt idx="5">
                  <c:v>0.534</c:v>
                </c:pt>
              </c:numCache>
            </c:numRef>
          </c:val>
          <c:smooth val="0"/>
        </c:ser>
        <c:ser>
          <c:idx val="17"/>
          <c:order val="8"/>
          <c:tx>
            <c:strRef>
              <c:f>Cell_Count_LSTM!$AA$4</c:f>
              <c:strCache>
                <c:ptCount val="1"/>
                <c:pt idx="0">
                  <c:v>256 - min acc</c:v>
                </c:pt>
              </c:strCache>
            </c:strRef>
          </c:tx>
          <c:spPr>
            <a:ln>
              <a:solidFill>
                <a:srgbClr val="D7E4BD"/>
              </a:solidFill>
            </a:ln>
          </c:spPr>
          <c:marker>
            <c:symbol val="x"/>
            <c:size val="9"/>
            <c:spPr>
              <a:solidFill>
                <a:srgbClr val="D7E4BD"/>
              </a:solidFill>
              <a:ln>
                <a:solidFill>
                  <a:srgbClr val="D7E4BD"/>
                </a:solidFill>
              </a:ln>
            </c:spPr>
          </c:marker>
          <c:cat>
            <c:strRef>
              <c:f>Cell_Count_LSTM!$I$5:$I$10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Cell_Count_LSTM!$AA$5:$AA$10</c:f>
              <c:numCache>
                <c:formatCode>0.00</c:formatCode>
                <c:ptCount val="6"/>
                <c:pt idx="0">
                  <c:v>0.496</c:v>
                </c:pt>
                <c:pt idx="1">
                  <c:v>0.5065</c:v>
                </c:pt>
                <c:pt idx="2">
                  <c:v>0.505</c:v>
                </c:pt>
                <c:pt idx="3">
                  <c:v>0.4945</c:v>
                </c:pt>
                <c:pt idx="4">
                  <c:v>0.489</c:v>
                </c:pt>
                <c:pt idx="5">
                  <c:v>0.5055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0304440"/>
        <c:axId val="2130127640"/>
      </c:lineChart>
      <c:catAx>
        <c:axId val="2130304440"/>
        <c:scaling>
          <c:orientation val="minMax"/>
        </c:scaling>
        <c:delete val="0"/>
        <c:axPos val="b"/>
        <c:majorTickMark val="out"/>
        <c:minorTickMark val="none"/>
        <c:tickLblPos val="nextTo"/>
        <c:crossAx val="2130127640"/>
        <c:crosses val="autoZero"/>
        <c:auto val="1"/>
        <c:lblAlgn val="ctr"/>
        <c:lblOffset val="100"/>
        <c:noMultiLvlLbl val="0"/>
      </c:catAx>
      <c:valAx>
        <c:axId val="2130127640"/>
        <c:scaling>
          <c:orientation val="minMax"/>
          <c:min val="0.46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303044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Loss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Recurrent!$J$4</c:f>
              <c:strCache>
                <c:ptCount val="1"/>
                <c:pt idx="0">
                  <c:v>OFF - max loss</c:v>
                </c:pt>
              </c:strCache>
            </c:strRef>
          </c:tx>
          <c:spPr>
            <a:ln>
              <a:solidFill>
                <a:schemeClr val="accent2">
                  <a:lumMod val="40000"/>
                  <a:lumOff val="60000"/>
                </a:schemeClr>
              </a:solidFill>
            </a:ln>
          </c:spPr>
          <c:marker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40000"/>
                    <a:lumOff val="60000"/>
                  </a:schemeClr>
                </a:solidFill>
              </a:ln>
            </c:spPr>
          </c:marker>
          <c:cat>
            <c:strRef>
              <c:f>Recurrent!$I$5:$I$10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Recurrent!$J$5:$J$10</c:f>
              <c:numCache>
                <c:formatCode>0.00</c:formatCode>
                <c:ptCount val="6"/>
                <c:pt idx="0">
                  <c:v>2.3136</c:v>
                </c:pt>
                <c:pt idx="1">
                  <c:v>2.4166</c:v>
                </c:pt>
                <c:pt idx="2">
                  <c:v>2.4243</c:v>
                </c:pt>
                <c:pt idx="3">
                  <c:v>2.5338</c:v>
                </c:pt>
                <c:pt idx="4">
                  <c:v>2.516</c:v>
                </c:pt>
                <c:pt idx="5">
                  <c:v>2.6053</c:v>
                </c:pt>
              </c:numCache>
            </c:numRef>
          </c:val>
          <c:smooth val="0"/>
        </c:ser>
        <c:ser>
          <c:idx val="7"/>
          <c:order val="1"/>
          <c:tx>
            <c:strRef>
              <c:f>Recurrent!$K$4</c:f>
              <c:strCache>
                <c:ptCount val="1"/>
                <c:pt idx="0">
                  <c:v>OFF - avg loss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cat>
            <c:strRef>
              <c:f>Recurrent!$I$5:$I$10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Recurrent!$K$5:$K$10</c:f>
              <c:numCache>
                <c:formatCode>0.00</c:formatCode>
                <c:ptCount val="6"/>
                <c:pt idx="0">
                  <c:v>1.920990740740741</c:v>
                </c:pt>
                <c:pt idx="1">
                  <c:v>1.954801851851853</c:v>
                </c:pt>
                <c:pt idx="2">
                  <c:v>1.962553703703704</c:v>
                </c:pt>
                <c:pt idx="3">
                  <c:v>2.00699074074074</c:v>
                </c:pt>
                <c:pt idx="4">
                  <c:v>2.044607407407408</c:v>
                </c:pt>
                <c:pt idx="5">
                  <c:v>2.062172222222222</c:v>
                </c:pt>
              </c:numCache>
            </c:numRef>
          </c:val>
          <c:smooth val="0"/>
        </c:ser>
        <c:ser>
          <c:idx val="8"/>
          <c:order val="2"/>
          <c:tx>
            <c:strRef>
              <c:f>Recurrent!$L$4</c:f>
              <c:strCache>
                <c:ptCount val="1"/>
                <c:pt idx="0">
                  <c:v>OFF - min loss</c:v>
                </c:pt>
              </c:strCache>
            </c:strRef>
          </c:tx>
          <c:spPr>
            <a:ln>
              <a:solidFill>
                <a:schemeClr val="accent2">
                  <a:lumMod val="20000"/>
                  <a:lumOff val="80000"/>
                </a:schemeClr>
              </a:solidFill>
            </a:ln>
          </c:spPr>
          <c:marker>
            <c:spPr>
              <a:solidFill>
                <a:schemeClr val="accent2">
                  <a:lumMod val="20000"/>
                  <a:lumOff val="80000"/>
                </a:schemeClr>
              </a:solidFill>
              <a:ln>
                <a:solidFill>
                  <a:schemeClr val="accent2">
                    <a:lumMod val="20000"/>
                    <a:lumOff val="80000"/>
                  </a:schemeClr>
                </a:solidFill>
              </a:ln>
            </c:spPr>
          </c:marker>
          <c:cat>
            <c:strRef>
              <c:f>Recurrent!$I$5:$I$10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Recurrent!$L$5:$L$10</c:f>
              <c:numCache>
                <c:formatCode>0.00</c:formatCode>
                <c:ptCount val="6"/>
                <c:pt idx="0">
                  <c:v>1.6573</c:v>
                </c:pt>
                <c:pt idx="1">
                  <c:v>1.6237</c:v>
                </c:pt>
                <c:pt idx="2">
                  <c:v>1.6083</c:v>
                </c:pt>
                <c:pt idx="3">
                  <c:v>1.6688</c:v>
                </c:pt>
                <c:pt idx="4">
                  <c:v>1.626</c:v>
                </c:pt>
                <c:pt idx="5">
                  <c:v>1.6587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Recurrent!$P$4</c:f>
              <c:strCache>
                <c:ptCount val="1"/>
                <c:pt idx="0">
                  <c:v>ON - max loss</c:v>
                </c:pt>
              </c:strCache>
            </c:strRef>
          </c:tx>
          <c:spPr>
            <a:ln>
              <a:solidFill>
                <a:schemeClr val="tx2">
                  <a:lumMod val="20000"/>
                  <a:lumOff val="80000"/>
                </a:schemeClr>
              </a:solidFill>
            </a:ln>
          </c:spPr>
          <c:marker>
            <c:spPr>
              <a:solidFill>
                <a:schemeClr val="tx2">
                  <a:lumMod val="20000"/>
                  <a:lumOff val="80000"/>
                </a:schemeClr>
              </a:solidFill>
              <a:ln>
                <a:solidFill>
                  <a:schemeClr val="tx2">
                    <a:lumMod val="20000"/>
                    <a:lumOff val="80000"/>
                  </a:schemeClr>
                </a:solidFill>
              </a:ln>
            </c:spPr>
          </c:marker>
          <c:cat>
            <c:strRef>
              <c:f>Recurrent!$I$5:$I$10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Recurrent!$P$5:$P$10</c:f>
              <c:numCache>
                <c:formatCode>0.00</c:formatCode>
                <c:ptCount val="6"/>
                <c:pt idx="0">
                  <c:v>2.205</c:v>
                </c:pt>
                <c:pt idx="1">
                  <c:v>2.2918</c:v>
                </c:pt>
                <c:pt idx="2">
                  <c:v>2.3032</c:v>
                </c:pt>
                <c:pt idx="3">
                  <c:v>2.4039</c:v>
                </c:pt>
                <c:pt idx="4">
                  <c:v>2.4652</c:v>
                </c:pt>
                <c:pt idx="5">
                  <c:v>2.4912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Recurrent!$Q$4</c:f>
              <c:strCache>
                <c:ptCount val="1"/>
                <c:pt idx="0">
                  <c:v>ON - avg loss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cat>
            <c:strRef>
              <c:f>Recurrent!$I$5:$I$10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Recurrent!$Q$5:$Q$10</c:f>
              <c:numCache>
                <c:formatCode>0.00</c:formatCode>
                <c:ptCount val="6"/>
                <c:pt idx="0">
                  <c:v>1.890796226415094</c:v>
                </c:pt>
                <c:pt idx="1">
                  <c:v>1.897915094339622</c:v>
                </c:pt>
                <c:pt idx="2">
                  <c:v>1.920864150943396</c:v>
                </c:pt>
                <c:pt idx="3">
                  <c:v>1.932184905660377</c:v>
                </c:pt>
                <c:pt idx="4">
                  <c:v>1.962858490566038</c:v>
                </c:pt>
                <c:pt idx="5">
                  <c:v>1.982077358490567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Recurrent!$R$4</c:f>
              <c:strCache>
                <c:ptCount val="1"/>
                <c:pt idx="0">
                  <c:v>ON - min loss</c:v>
                </c:pt>
              </c:strCache>
            </c:strRef>
          </c:tx>
          <c:spPr>
            <a:ln>
              <a:solidFill>
                <a:schemeClr val="accent1">
                  <a:lumMod val="20000"/>
                  <a:lumOff val="80000"/>
                </a:schemeClr>
              </a:solidFill>
            </a:ln>
          </c:spPr>
          <c:marker>
            <c:spPr>
              <a:solidFill>
                <a:schemeClr val="accent1">
                  <a:lumMod val="20000"/>
                  <a:lumOff val="80000"/>
                </a:schemeClr>
              </a:solidFill>
              <a:ln>
                <a:solidFill>
                  <a:schemeClr val="accent1">
                    <a:lumMod val="20000"/>
                    <a:lumOff val="80000"/>
                  </a:schemeClr>
                </a:solidFill>
              </a:ln>
            </c:spPr>
          </c:marker>
          <c:cat>
            <c:strRef>
              <c:f>Recurrent!$I$5:$I$10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Recurrent!$R$5:$R$10</c:f>
              <c:numCache>
                <c:formatCode>0.00</c:formatCode>
                <c:ptCount val="6"/>
                <c:pt idx="0">
                  <c:v>1.6056</c:v>
                </c:pt>
                <c:pt idx="1">
                  <c:v>1.6621</c:v>
                </c:pt>
                <c:pt idx="2">
                  <c:v>1.6281</c:v>
                </c:pt>
                <c:pt idx="3">
                  <c:v>1.5973</c:v>
                </c:pt>
                <c:pt idx="4">
                  <c:v>1.639</c:v>
                </c:pt>
                <c:pt idx="5">
                  <c:v>1.6245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640008"/>
        <c:axId val="2125635160"/>
      </c:lineChart>
      <c:catAx>
        <c:axId val="2125640008"/>
        <c:scaling>
          <c:orientation val="minMax"/>
        </c:scaling>
        <c:delete val="0"/>
        <c:axPos val="b"/>
        <c:majorTickMark val="out"/>
        <c:minorTickMark val="none"/>
        <c:tickLblPos val="nextTo"/>
        <c:crossAx val="2125635160"/>
        <c:crosses val="autoZero"/>
        <c:auto val="1"/>
        <c:lblAlgn val="ctr"/>
        <c:lblOffset val="100"/>
        <c:noMultiLvlLbl val="0"/>
      </c:catAx>
      <c:valAx>
        <c:axId val="2125635160"/>
        <c:scaling>
          <c:orientation val="minMax"/>
          <c:min val="1.5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256400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Accuracy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9"/>
          <c:order val="0"/>
          <c:tx>
            <c:strRef>
              <c:f>Recurrent!$M$4</c:f>
              <c:strCache>
                <c:ptCount val="1"/>
                <c:pt idx="0">
                  <c:v>OFF - max of acc</c:v>
                </c:pt>
              </c:strCache>
            </c:strRef>
          </c:tx>
          <c:spPr>
            <a:ln>
              <a:solidFill>
                <a:srgbClr val="E6B9B8"/>
              </a:solidFill>
            </a:ln>
          </c:spPr>
          <c:marker>
            <c:spPr>
              <a:solidFill>
                <a:srgbClr val="E6B9B8"/>
              </a:solidFill>
              <a:ln>
                <a:solidFill>
                  <a:srgbClr val="E6B9B8"/>
                </a:solidFill>
              </a:ln>
            </c:spPr>
          </c:marker>
          <c:cat>
            <c:strRef>
              <c:f>Recurrent!$I$5:$I$10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Recurrent!$M$5:$M$10</c:f>
              <c:numCache>
                <c:formatCode>0.00</c:formatCode>
                <c:ptCount val="6"/>
                <c:pt idx="0">
                  <c:v>0.5545</c:v>
                </c:pt>
                <c:pt idx="1">
                  <c:v>0.567</c:v>
                </c:pt>
                <c:pt idx="2">
                  <c:v>0.5685</c:v>
                </c:pt>
                <c:pt idx="3">
                  <c:v>0.5585</c:v>
                </c:pt>
                <c:pt idx="4">
                  <c:v>0.5595</c:v>
                </c:pt>
                <c:pt idx="5">
                  <c:v>0.568</c:v>
                </c:pt>
              </c:numCache>
            </c:numRef>
          </c:val>
          <c:smooth val="0"/>
        </c:ser>
        <c:ser>
          <c:idx val="10"/>
          <c:order val="1"/>
          <c:tx>
            <c:strRef>
              <c:f>Recurrent!$N$4</c:f>
              <c:strCache>
                <c:ptCount val="1"/>
                <c:pt idx="0">
                  <c:v>OFF - avg acc</c:v>
                </c:pt>
              </c:strCache>
            </c:strRef>
          </c:tx>
          <c:spPr>
            <a:ln>
              <a:solidFill>
                <a:srgbClr val="C0504D"/>
              </a:solidFill>
            </a:ln>
          </c:spPr>
          <c:marker>
            <c:spPr>
              <a:solidFill>
                <a:srgbClr val="C0504D"/>
              </a:solidFill>
              <a:ln>
                <a:solidFill>
                  <a:srgbClr val="C0504D"/>
                </a:solidFill>
              </a:ln>
            </c:spPr>
          </c:marker>
          <c:cat>
            <c:strRef>
              <c:f>Recurrent!$I$5:$I$10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Recurrent!$N$5:$N$10</c:f>
              <c:numCache>
                <c:formatCode>0.00</c:formatCode>
                <c:ptCount val="6"/>
                <c:pt idx="0">
                  <c:v>0.524675925925926</c:v>
                </c:pt>
                <c:pt idx="1">
                  <c:v>0.529666666666667</c:v>
                </c:pt>
                <c:pt idx="2">
                  <c:v>0.531324074074074</c:v>
                </c:pt>
                <c:pt idx="3">
                  <c:v>0.528444444444444</c:v>
                </c:pt>
                <c:pt idx="4">
                  <c:v>0.528</c:v>
                </c:pt>
                <c:pt idx="5">
                  <c:v>0.528509259259259</c:v>
                </c:pt>
              </c:numCache>
            </c:numRef>
          </c:val>
          <c:smooth val="0"/>
        </c:ser>
        <c:ser>
          <c:idx val="11"/>
          <c:order val="2"/>
          <c:tx>
            <c:strRef>
              <c:f>Recurrent!$O$4</c:f>
              <c:strCache>
                <c:ptCount val="1"/>
                <c:pt idx="0">
                  <c:v>OFF - min acc</c:v>
                </c:pt>
              </c:strCache>
            </c:strRef>
          </c:tx>
          <c:spPr>
            <a:ln>
              <a:solidFill>
                <a:schemeClr val="accent2">
                  <a:lumMod val="20000"/>
                  <a:lumOff val="80000"/>
                </a:schemeClr>
              </a:solidFill>
            </a:ln>
          </c:spPr>
          <c:marker>
            <c:spPr>
              <a:solidFill>
                <a:schemeClr val="accent2">
                  <a:lumMod val="20000"/>
                  <a:lumOff val="80000"/>
                </a:schemeClr>
              </a:solidFill>
              <a:ln>
                <a:solidFill>
                  <a:schemeClr val="accent2">
                    <a:lumMod val="20000"/>
                    <a:lumOff val="80000"/>
                  </a:schemeClr>
                </a:solidFill>
              </a:ln>
            </c:spPr>
          </c:marker>
          <c:cat>
            <c:strRef>
              <c:f>Recurrent!$I$5:$I$10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Recurrent!$O$5:$O$10</c:f>
              <c:numCache>
                <c:formatCode>0.00</c:formatCode>
                <c:ptCount val="6"/>
                <c:pt idx="0">
                  <c:v>0.4845</c:v>
                </c:pt>
                <c:pt idx="1">
                  <c:v>0.492</c:v>
                </c:pt>
                <c:pt idx="2">
                  <c:v>0.485</c:v>
                </c:pt>
                <c:pt idx="3">
                  <c:v>0.4715</c:v>
                </c:pt>
                <c:pt idx="4">
                  <c:v>0.489</c:v>
                </c:pt>
                <c:pt idx="5">
                  <c:v>0.489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Recurrent!$S$4</c:f>
              <c:strCache>
                <c:ptCount val="1"/>
                <c:pt idx="0">
                  <c:v>ON - max of acc</c:v>
                </c:pt>
              </c:strCache>
            </c:strRef>
          </c:tx>
          <c:spPr>
            <a:ln>
              <a:solidFill>
                <a:srgbClr val="C6D9F1"/>
              </a:solidFill>
            </a:ln>
          </c:spPr>
          <c:marker>
            <c:spPr>
              <a:solidFill>
                <a:srgbClr val="C6D9F1"/>
              </a:solidFill>
              <a:ln>
                <a:solidFill>
                  <a:srgbClr val="C6D9F1"/>
                </a:solidFill>
              </a:ln>
            </c:spPr>
          </c:marker>
          <c:cat>
            <c:strRef>
              <c:f>Recurrent!$I$5:$I$10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Recurrent!$S$5:$S$10</c:f>
              <c:numCache>
                <c:formatCode>0.00</c:formatCode>
                <c:ptCount val="6"/>
                <c:pt idx="0">
                  <c:v>0.559</c:v>
                </c:pt>
                <c:pt idx="1">
                  <c:v>0.56</c:v>
                </c:pt>
                <c:pt idx="2">
                  <c:v>0.559</c:v>
                </c:pt>
                <c:pt idx="3">
                  <c:v>0.5735</c:v>
                </c:pt>
                <c:pt idx="4">
                  <c:v>0.5605</c:v>
                </c:pt>
                <c:pt idx="5">
                  <c:v>0.567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Recurrent!$T$4</c:f>
              <c:strCache>
                <c:ptCount val="1"/>
                <c:pt idx="0">
                  <c:v>ON - avg acc</c:v>
                </c:pt>
              </c:strCache>
            </c:strRef>
          </c:tx>
          <c:spPr>
            <a:ln>
              <a:solidFill>
                <a:srgbClr val="4F81BD"/>
              </a:solidFill>
            </a:ln>
          </c:spPr>
          <c:marker>
            <c:spPr>
              <a:solidFill>
                <a:srgbClr val="4F81BD"/>
              </a:solidFill>
              <a:ln>
                <a:solidFill>
                  <a:srgbClr val="4F81BD"/>
                </a:solidFill>
              </a:ln>
            </c:spPr>
          </c:marker>
          <c:cat>
            <c:strRef>
              <c:f>Recurrent!$I$5:$I$10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Recurrent!$T$5:$T$10</c:f>
              <c:numCache>
                <c:formatCode>0.00</c:formatCode>
                <c:ptCount val="6"/>
                <c:pt idx="0">
                  <c:v>0.524150943396226</c:v>
                </c:pt>
                <c:pt idx="1">
                  <c:v>0.527641509433962</c:v>
                </c:pt>
                <c:pt idx="2">
                  <c:v>0.532169811320755</c:v>
                </c:pt>
                <c:pt idx="3">
                  <c:v>0.53461320754717</c:v>
                </c:pt>
                <c:pt idx="4">
                  <c:v>0.534150943396226</c:v>
                </c:pt>
                <c:pt idx="5">
                  <c:v>0.535537735849056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Recurrent!$U$4</c:f>
              <c:strCache>
                <c:ptCount val="1"/>
                <c:pt idx="0">
                  <c:v>ON - min acc</c:v>
                </c:pt>
              </c:strCache>
            </c:strRef>
          </c:tx>
          <c:spPr>
            <a:ln>
              <a:solidFill>
                <a:srgbClr val="DCE6F2"/>
              </a:solidFill>
            </a:ln>
          </c:spPr>
          <c:marker>
            <c:spPr>
              <a:solidFill>
                <a:srgbClr val="DCE6F2"/>
              </a:solidFill>
              <a:ln>
                <a:solidFill>
                  <a:srgbClr val="DCE6F2"/>
                </a:solidFill>
              </a:ln>
            </c:spPr>
          </c:marker>
          <c:cat>
            <c:strRef>
              <c:f>Recurrent!$I$5:$I$10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Recurrent!$U$5:$U$10</c:f>
              <c:numCache>
                <c:formatCode>0.00</c:formatCode>
                <c:ptCount val="6"/>
                <c:pt idx="0">
                  <c:v>0.488</c:v>
                </c:pt>
                <c:pt idx="1">
                  <c:v>0.4935</c:v>
                </c:pt>
                <c:pt idx="2">
                  <c:v>0.504</c:v>
                </c:pt>
                <c:pt idx="3">
                  <c:v>0.502</c:v>
                </c:pt>
                <c:pt idx="4">
                  <c:v>0.5035</c:v>
                </c:pt>
                <c:pt idx="5">
                  <c:v>0.499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093640"/>
        <c:axId val="2123098664"/>
      </c:lineChart>
      <c:catAx>
        <c:axId val="2123093640"/>
        <c:scaling>
          <c:orientation val="minMax"/>
        </c:scaling>
        <c:delete val="0"/>
        <c:axPos val="b"/>
        <c:majorTickMark val="out"/>
        <c:minorTickMark val="none"/>
        <c:tickLblPos val="nextTo"/>
        <c:crossAx val="2123098664"/>
        <c:crosses val="autoZero"/>
        <c:auto val="1"/>
        <c:lblAlgn val="ctr"/>
        <c:lblOffset val="100"/>
        <c:noMultiLvlLbl val="0"/>
      </c:catAx>
      <c:valAx>
        <c:axId val="2123098664"/>
        <c:scaling>
          <c:orientation val="minMax"/>
          <c:min val="0.46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230936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Loss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Optimizer!$J$4</c:f>
              <c:strCache>
                <c:ptCount val="1"/>
                <c:pt idx="0">
                  <c:v>adam - max loss</c:v>
                </c:pt>
              </c:strCache>
            </c:strRef>
          </c:tx>
          <c:spPr>
            <a:ln>
              <a:solidFill>
                <a:schemeClr val="accent2">
                  <a:lumMod val="40000"/>
                  <a:lumOff val="60000"/>
                </a:schemeClr>
              </a:solidFill>
            </a:ln>
          </c:spPr>
          <c:marker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40000"/>
                    <a:lumOff val="60000"/>
                  </a:schemeClr>
                </a:solidFill>
              </a:ln>
            </c:spPr>
          </c:marker>
          <c:cat>
            <c:strRef>
              <c:f>Optimizer!$I$5:$I$10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Optimizer!$J$5:$J$10</c:f>
              <c:numCache>
                <c:formatCode>0.00</c:formatCode>
                <c:ptCount val="6"/>
                <c:pt idx="0">
                  <c:v>2.3136</c:v>
                </c:pt>
                <c:pt idx="1">
                  <c:v>2.4166</c:v>
                </c:pt>
                <c:pt idx="2">
                  <c:v>2.4243</c:v>
                </c:pt>
                <c:pt idx="3">
                  <c:v>2.5338</c:v>
                </c:pt>
                <c:pt idx="4">
                  <c:v>2.516</c:v>
                </c:pt>
                <c:pt idx="5">
                  <c:v>2.6053</c:v>
                </c:pt>
              </c:numCache>
            </c:numRef>
          </c:val>
          <c:smooth val="0"/>
        </c:ser>
        <c:ser>
          <c:idx val="7"/>
          <c:order val="1"/>
          <c:tx>
            <c:strRef>
              <c:f>Optimizer!$K$4</c:f>
              <c:strCache>
                <c:ptCount val="1"/>
                <c:pt idx="0">
                  <c:v>adam - avg loss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cat>
            <c:strRef>
              <c:f>Optimizer!$I$5:$I$10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Optimizer!$K$5:$K$10</c:f>
              <c:numCache>
                <c:formatCode>0.00</c:formatCode>
                <c:ptCount val="6"/>
                <c:pt idx="0">
                  <c:v>2.047057407407407</c:v>
                </c:pt>
                <c:pt idx="1">
                  <c:v>2.098653703703703</c:v>
                </c:pt>
                <c:pt idx="2">
                  <c:v>2.133694444444445</c:v>
                </c:pt>
                <c:pt idx="3">
                  <c:v>2.170135185185184</c:v>
                </c:pt>
                <c:pt idx="4">
                  <c:v>2.234564814814815</c:v>
                </c:pt>
                <c:pt idx="5">
                  <c:v>2.255866666666667</c:v>
                </c:pt>
              </c:numCache>
            </c:numRef>
          </c:val>
          <c:smooth val="0"/>
        </c:ser>
        <c:ser>
          <c:idx val="8"/>
          <c:order val="2"/>
          <c:tx>
            <c:strRef>
              <c:f>Optimizer!$L$4</c:f>
              <c:strCache>
                <c:ptCount val="1"/>
                <c:pt idx="0">
                  <c:v>adam - min loss</c:v>
                </c:pt>
              </c:strCache>
            </c:strRef>
          </c:tx>
          <c:spPr>
            <a:ln>
              <a:solidFill>
                <a:schemeClr val="accent2">
                  <a:lumMod val="20000"/>
                  <a:lumOff val="80000"/>
                </a:schemeClr>
              </a:solidFill>
            </a:ln>
          </c:spPr>
          <c:marker>
            <c:spPr>
              <a:solidFill>
                <a:schemeClr val="accent2">
                  <a:lumMod val="20000"/>
                  <a:lumOff val="80000"/>
                </a:schemeClr>
              </a:solidFill>
              <a:ln>
                <a:solidFill>
                  <a:schemeClr val="accent2">
                    <a:lumMod val="20000"/>
                    <a:lumOff val="80000"/>
                  </a:schemeClr>
                </a:solidFill>
              </a:ln>
            </c:spPr>
          </c:marker>
          <c:cat>
            <c:strRef>
              <c:f>Optimizer!$I$5:$I$10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Optimizer!$L$5:$L$10</c:f>
              <c:numCache>
                <c:formatCode>0.00</c:formatCode>
                <c:ptCount val="6"/>
                <c:pt idx="0">
                  <c:v>1.776</c:v>
                </c:pt>
                <c:pt idx="1">
                  <c:v>1.8262</c:v>
                </c:pt>
                <c:pt idx="2">
                  <c:v>1.8237</c:v>
                </c:pt>
                <c:pt idx="3">
                  <c:v>1.8843</c:v>
                </c:pt>
                <c:pt idx="4">
                  <c:v>1.947</c:v>
                </c:pt>
                <c:pt idx="5">
                  <c:v>1.936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Optimizer!$P$4</c:f>
              <c:strCache>
                <c:ptCount val="1"/>
                <c:pt idx="0">
                  <c:v>rmsprop - max loss</c:v>
                </c:pt>
              </c:strCache>
            </c:strRef>
          </c:tx>
          <c:spPr>
            <a:ln>
              <a:solidFill>
                <a:schemeClr val="tx2">
                  <a:lumMod val="20000"/>
                  <a:lumOff val="80000"/>
                </a:schemeClr>
              </a:solidFill>
            </a:ln>
          </c:spPr>
          <c:marker>
            <c:spPr>
              <a:solidFill>
                <a:schemeClr val="tx2">
                  <a:lumMod val="20000"/>
                  <a:lumOff val="80000"/>
                </a:schemeClr>
              </a:solidFill>
              <a:ln>
                <a:solidFill>
                  <a:schemeClr val="tx2">
                    <a:lumMod val="20000"/>
                    <a:lumOff val="80000"/>
                  </a:schemeClr>
                </a:solidFill>
              </a:ln>
            </c:spPr>
          </c:marker>
          <c:cat>
            <c:strRef>
              <c:f>Optimizer!$I$5:$I$10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Optimizer!$P$5:$P$10</c:f>
              <c:numCache>
                <c:formatCode>0.00</c:formatCode>
                <c:ptCount val="6"/>
                <c:pt idx="0">
                  <c:v>1.8984</c:v>
                </c:pt>
                <c:pt idx="1">
                  <c:v>2.0958</c:v>
                </c:pt>
                <c:pt idx="2">
                  <c:v>1.9414</c:v>
                </c:pt>
                <c:pt idx="3">
                  <c:v>1.9233</c:v>
                </c:pt>
                <c:pt idx="4">
                  <c:v>1.983</c:v>
                </c:pt>
                <c:pt idx="5">
                  <c:v>2.0056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Optimizer!$Q$4</c:f>
              <c:strCache>
                <c:ptCount val="1"/>
                <c:pt idx="0">
                  <c:v>rmsprop - avg loss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cat>
            <c:strRef>
              <c:f>Optimizer!$I$5:$I$10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Optimizer!$Q$5:$Q$10</c:f>
              <c:numCache>
                <c:formatCode>0.00</c:formatCode>
                <c:ptCount val="6"/>
                <c:pt idx="0">
                  <c:v>1.762350943396227</c:v>
                </c:pt>
                <c:pt idx="1">
                  <c:v>1.751349056603773</c:v>
                </c:pt>
                <c:pt idx="2">
                  <c:v>1.746494339622641</c:v>
                </c:pt>
                <c:pt idx="3">
                  <c:v>1.765962264150943</c:v>
                </c:pt>
                <c:pt idx="4">
                  <c:v>1.769316981132075</c:v>
                </c:pt>
                <c:pt idx="5">
                  <c:v>1.784728301886792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Optimizer!$R$4</c:f>
              <c:strCache>
                <c:ptCount val="1"/>
                <c:pt idx="0">
                  <c:v>rmsprop - min loss</c:v>
                </c:pt>
              </c:strCache>
            </c:strRef>
          </c:tx>
          <c:spPr>
            <a:ln>
              <a:solidFill>
                <a:schemeClr val="accent1">
                  <a:lumMod val="20000"/>
                  <a:lumOff val="80000"/>
                </a:schemeClr>
              </a:solidFill>
            </a:ln>
          </c:spPr>
          <c:marker>
            <c:spPr>
              <a:solidFill>
                <a:schemeClr val="accent1">
                  <a:lumMod val="20000"/>
                  <a:lumOff val="80000"/>
                </a:schemeClr>
              </a:solidFill>
              <a:ln>
                <a:solidFill>
                  <a:schemeClr val="accent1">
                    <a:lumMod val="20000"/>
                    <a:lumOff val="80000"/>
                  </a:schemeClr>
                </a:solidFill>
              </a:ln>
            </c:spPr>
          </c:marker>
          <c:cat>
            <c:strRef>
              <c:f>Optimizer!$I$5:$I$10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Optimizer!$R$5:$R$10</c:f>
              <c:numCache>
                <c:formatCode>0.00</c:formatCode>
                <c:ptCount val="6"/>
                <c:pt idx="0">
                  <c:v>1.6056</c:v>
                </c:pt>
                <c:pt idx="1">
                  <c:v>1.6237</c:v>
                </c:pt>
                <c:pt idx="2">
                  <c:v>1.6083</c:v>
                </c:pt>
                <c:pt idx="3">
                  <c:v>1.5973</c:v>
                </c:pt>
                <c:pt idx="4">
                  <c:v>1.626</c:v>
                </c:pt>
                <c:pt idx="5">
                  <c:v>1.6245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269208"/>
        <c:axId val="2125274232"/>
      </c:lineChart>
      <c:catAx>
        <c:axId val="2125269208"/>
        <c:scaling>
          <c:orientation val="minMax"/>
        </c:scaling>
        <c:delete val="0"/>
        <c:axPos val="b"/>
        <c:majorTickMark val="out"/>
        <c:minorTickMark val="none"/>
        <c:tickLblPos val="nextTo"/>
        <c:crossAx val="2125274232"/>
        <c:crosses val="autoZero"/>
        <c:auto val="1"/>
        <c:lblAlgn val="ctr"/>
        <c:lblOffset val="100"/>
        <c:noMultiLvlLbl val="0"/>
      </c:catAx>
      <c:valAx>
        <c:axId val="2125274232"/>
        <c:scaling>
          <c:orientation val="minMax"/>
          <c:min val="1.5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252692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Accuracy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9"/>
          <c:order val="0"/>
          <c:tx>
            <c:strRef>
              <c:f>Optimizer!$M$4</c:f>
              <c:strCache>
                <c:ptCount val="1"/>
                <c:pt idx="0">
                  <c:v>adam - max acc</c:v>
                </c:pt>
              </c:strCache>
            </c:strRef>
          </c:tx>
          <c:spPr>
            <a:ln>
              <a:solidFill>
                <a:srgbClr val="E6B9B8"/>
              </a:solidFill>
            </a:ln>
          </c:spPr>
          <c:marker>
            <c:spPr>
              <a:solidFill>
                <a:srgbClr val="E6B9B8"/>
              </a:solidFill>
              <a:ln>
                <a:solidFill>
                  <a:srgbClr val="E6B9B8"/>
                </a:solidFill>
              </a:ln>
            </c:spPr>
          </c:marker>
          <c:cat>
            <c:strRef>
              <c:f>Optimizer!$I$5:$I$10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Optimizer!$M$5:$M$10</c:f>
              <c:numCache>
                <c:formatCode>0.00</c:formatCode>
                <c:ptCount val="6"/>
                <c:pt idx="0">
                  <c:v>0.559</c:v>
                </c:pt>
                <c:pt idx="1">
                  <c:v>0.547</c:v>
                </c:pt>
                <c:pt idx="2">
                  <c:v>0.5495</c:v>
                </c:pt>
                <c:pt idx="3">
                  <c:v>0.5565</c:v>
                </c:pt>
                <c:pt idx="4">
                  <c:v>0.553</c:v>
                </c:pt>
                <c:pt idx="5">
                  <c:v>0.5545</c:v>
                </c:pt>
              </c:numCache>
            </c:numRef>
          </c:val>
          <c:smooth val="0"/>
        </c:ser>
        <c:ser>
          <c:idx val="10"/>
          <c:order val="1"/>
          <c:tx>
            <c:strRef>
              <c:f>Optimizer!$N$4</c:f>
              <c:strCache>
                <c:ptCount val="1"/>
                <c:pt idx="0">
                  <c:v>adam - avg acc</c:v>
                </c:pt>
              </c:strCache>
            </c:strRef>
          </c:tx>
          <c:spPr>
            <a:ln>
              <a:solidFill>
                <a:srgbClr val="C0504D"/>
              </a:solidFill>
            </a:ln>
          </c:spPr>
          <c:marker>
            <c:spPr>
              <a:solidFill>
                <a:srgbClr val="C0504D"/>
              </a:solidFill>
              <a:ln>
                <a:solidFill>
                  <a:srgbClr val="C0504D"/>
                </a:solidFill>
              </a:ln>
            </c:spPr>
          </c:marker>
          <c:cat>
            <c:strRef>
              <c:f>Optimizer!$I$5:$I$10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Optimizer!$N$5:$N$10</c:f>
              <c:numCache>
                <c:formatCode>0.00</c:formatCode>
                <c:ptCount val="6"/>
                <c:pt idx="0">
                  <c:v>0.521037037037037</c:v>
                </c:pt>
                <c:pt idx="1">
                  <c:v>0.521916666666667</c:v>
                </c:pt>
                <c:pt idx="2">
                  <c:v>0.524861111111111</c:v>
                </c:pt>
                <c:pt idx="3">
                  <c:v>0.523972222222222</c:v>
                </c:pt>
                <c:pt idx="4">
                  <c:v>0.520685185185185</c:v>
                </c:pt>
                <c:pt idx="5">
                  <c:v>0.520694444444445</c:v>
                </c:pt>
              </c:numCache>
            </c:numRef>
          </c:val>
          <c:smooth val="0"/>
        </c:ser>
        <c:ser>
          <c:idx val="11"/>
          <c:order val="2"/>
          <c:tx>
            <c:strRef>
              <c:f>Optimizer!$O$4</c:f>
              <c:strCache>
                <c:ptCount val="1"/>
                <c:pt idx="0">
                  <c:v>adam - min acc</c:v>
                </c:pt>
              </c:strCache>
            </c:strRef>
          </c:tx>
          <c:spPr>
            <a:ln>
              <a:solidFill>
                <a:schemeClr val="accent2">
                  <a:lumMod val="20000"/>
                  <a:lumOff val="80000"/>
                </a:schemeClr>
              </a:solidFill>
            </a:ln>
          </c:spPr>
          <c:marker>
            <c:spPr>
              <a:solidFill>
                <a:schemeClr val="accent2">
                  <a:lumMod val="20000"/>
                  <a:lumOff val="80000"/>
                </a:schemeClr>
              </a:solidFill>
              <a:ln>
                <a:solidFill>
                  <a:schemeClr val="accent2">
                    <a:lumMod val="20000"/>
                    <a:lumOff val="80000"/>
                  </a:schemeClr>
                </a:solidFill>
              </a:ln>
            </c:spPr>
          </c:marker>
          <c:cat>
            <c:strRef>
              <c:f>Optimizer!$I$5:$I$10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Optimizer!$O$5:$O$10</c:f>
              <c:numCache>
                <c:formatCode>0.00</c:formatCode>
                <c:ptCount val="6"/>
                <c:pt idx="0">
                  <c:v>0.4845</c:v>
                </c:pt>
                <c:pt idx="1">
                  <c:v>0.492</c:v>
                </c:pt>
                <c:pt idx="2">
                  <c:v>0.485</c:v>
                </c:pt>
                <c:pt idx="3">
                  <c:v>0.4715</c:v>
                </c:pt>
                <c:pt idx="4">
                  <c:v>0.489</c:v>
                </c:pt>
                <c:pt idx="5">
                  <c:v>0.489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Optimizer!$S$4</c:f>
              <c:strCache>
                <c:ptCount val="1"/>
                <c:pt idx="0">
                  <c:v>rmsprop - max acc</c:v>
                </c:pt>
              </c:strCache>
            </c:strRef>
          </c:tx>
          <c:spPr>
            <a:ln>
              <a:solidFill>
                <a:srgbClr val="C6D9F1"/>
              </a:solidFill>
            </a:ln>
          </c:spPr>
          <c:marker>
            <c:spPr>
              <a:solidFill>
                <a:srgbClr val="C6D9F1"/>
              </a:solidFill>
              <a:ln>
                <a:solidFill>
                  <a:srgbClr val="C6D9F1"/>
                </a:solidFill>
              </a:ln>
            </c:spPr>
          </c:marker>
          <c:cat>
            <c:strRef>
              <c:f>Optimizer!$I$5:$I$10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Optimizer!$S$5:$S$10</c:f>
              <c:numCache>
                <c:formatCode>0.00</c:formatCode>
                <c:ptCount val="6"/>
                <c:pt idx="0">
                  <c:v>0.555</c:v>
                </c:pt>
                <c:pt idx="1">
                  <c:v>0.567</c:v>
                </c:pt>
                <c:pt idx="2">
                  <c:v>0.5685</c:v>
                </c:pt>
                <c:pt idx="3">
                  <c:v>0.5735</c:v>
                </c:pt>
                <c:pt idx="4">
                  <c:v>0.5605</c:v>
                </c:pt>
                <c:pt idx="5">
                  <c:v>0.568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Optimizer!$T$4</c:f>
              <c:strCache>
                <c:ptCount val="1"/>
                <c:pt idx="0">
                  <c:v>rmsprop - avg acc</c:v>
                </c:pt>
              </c:strCache>
            </c:strRef>
          </c:tx>
          <c:spPr>
            <a:ln>
              <a:solidFill>
                <a:srgbClr val="4F81BD"/>
              </a:solidFill>
            </a:ln>
          </c:spPr>
          <c:marker>
            <c:spPr>
              <a:solidFill>
                <a:srgbClr val="4F81BD"/>
              </a:solidFill>
              <a:ln>
                <a:solidFill>
                  <a:srgbClr val="4F81BD"/>
                </a:solidFill>
              </a:ln>
            </c:spPr>
          </c:marker>
          <c:cat>
            <c:strRef>
              <c:f>Optimizer!$I$5:$I$10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Optimizer!$T$5:$T$10</c:f>
              <c:numCache>
                <c:formatCode>0.00</c:formatCode>
                <c:ptCount val="6"/>
                <c:pt idx="0">
                  <c:v>0.527858490566038</c:v>
                </c:pt>
                <c:pt idx="1">
                  <c:v>0.535537735849057</c:v>
                </c:pt>
                <c:pt idx="2">
                  <c:v>0.538754716981132</c:v>
                </c:pt>
                <c:pt idx="3">
                  <c:v>0.539169811320755</c:v>
                </c:pt>
                <c:pt idx="4">
                  <c:v>0.541603773584906</c:v>
                </c:pt>
                <c:pt idx="5">
                  <c:v>0.5435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Optimizer!$U$4</c:f>
              <c:strCache>
                <c:ptCount val="1"/>
                <c:pt idx="0">
                  <c:v>rmsprop - min acc</c:v>
                </c:pt>
              </c:strCache>
            </c:strRef>
          </c:tx>
          <c:spPr>
            <a:ln>
              <a:solidFill>
                <a:srgbClr val="DCE6F2"/>
              </a:solidFill>
            </a:ln>
          </c:spPr>
          <c:marker>
            <c:spPr>
              <a:solidFill>
                <a:srgbClr val="DCE6F2"/>
              </a:solidFill>
              <a:ln>
                <a:solidFill>
                  <a:srgbClr val="DCE6F2"/>
                </a:solidFill>
              </a:ln>
            </c:spPr>
          </c:marker>
          <c:cat>
            <c:strRef>
              <c:f>Optimizer!$I$5:$I$10</c:f>
              <c:strCache>
                <c:ptCount val="6"/>
                <c:pt idx="0">
                  <c:v>Epoch 10</c:v>
                </c:pt>
                <c:pt idx="1">
                  <c:v>Epoch 11</c:v>
                </c:pt>
                <c:pt idx="2">
                  <c:v>Epoch 12</c:v>
                </c:pt>
                <c:pt idx="3">
                  <c:v>Epoch 13</c:v>
                </c:pt>
                <c:pt idx="4">
                  <c:v>Epoch 14</c:v>
                </c:pt>
                <c:pt idx="5">
                  <c:v>Epoch 15</c:v>
                </c:pt>
              </c:strCache>
            </c:strRef>
          </c:cat>
          <c:val>
            <c:numRef>
              <c:f>Optimizer!$U$5:$U$10</c:f>
              <c:numCache>
                <c:formatCode>0.00</c:formatCode>
                <c:ptCount val="6"/>
                <c:pt idx="0">
                  <c:v>0.488</c:v>
                </c:pt>
                <c:pt idx="1">
                  <c:v>0.495</c:v>
                </c:pt>
                <c:pt idx="2">
                  <c:v>0.504</c:v>
                </c:pt>
                <c:pt idx="3">
                  <c:v>0.513</c:v>
                </c:pt>
                <c:pt idx="4">
                  <c:v>0.5035</c:v>
                </c:pt>
                <c:pt idx="5">
                  <c:v>0.5015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181224"/>
        <c:axId val="2123186248"/>
      </c:lineChart>
      <c:catAx>
        <c:axId val="2123181224"/>
        <c:scaling>
          <c:orientation val="minMax"/>
        </c:scaling>
        <c:delete val="0"/>
        <c:axPos val="b"/>
        <c:majorTickMark val="out"/>
        <c:minorTickMark val="none"/>
        <c:tickLblPos val="nextTo"/>
        <c:crossAx val="2123186248"/>
        <c:crosses val="autoZero"/>
        <c:auto val="1"/>
        <c:lblAlgn val="ctr"/>
        <c:lblOffset val="100"/>
        <c:noMultiLvlLbl val="0"/>
      </c:catAx>
      <c:valAx>
        <c:axId val="2123186248"/>
        <c:scaling>
          <c:orientation val="minMax"/>
          <c:min val="0.46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231812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Sheet8!$J$1</c:f>
              <c:strCache>
                <c:ptCount val="1"/>
                <c:pt idx="0">
                  <c:v>GRU/0.6/512/ON/rmsprop</c:v>
                </c:pt>
              </c:strCache>
            </c:strRef>
          </c:tx>
          <c:marker>
            <c:symbol val="none"/>
          </c:marker>
          <c:cat>
            <c:strRef>
              <c:f>Sheet8!$I$8:$I$19</c:f>
              <c:strCache>
                <c:ptCount val="12"/>
                <c:pt idx="0">
                  <c:v>E07</c:v>
                </c:pt>
                <c:pt idx="1">
                  <c:v>E08</c:v>
                </c:pt>
                <c:pt idx="2">
                  <c:v>E09</c:v>
                </c:pt>
                <c:pt idx="3">
                  <c:v>E10</c:v>
                </c:pt>
                <c:pt idx="4">
                  <c:v>E11</c:v>
                </c:pt>
                <c:pt idx="5">
                  <c:v>E12</c:v>
                </c:pt>
                <c:pt idx="6">
                  <c:v>E13</c:v>
                </c:pt>
                <c:pt idx="7">
                  <c:v>E14</c:v>
                </c:pt>
                <c:pt idx="8">
                  <c:v>E15</c:v>
                </c:pt>
                <c:pt idx="9">
                  <c:v>E16</c:v>
                </c:pt>
                <c:pt idx="10">
                  <c:v>E17</c:v>
                </c:pt>
                <c:pt idx="11">
                  <c:v>E18</c:v>
                </c:pt>
              </c:strCache>
            </c:strRef>
          </c:cat>
          <c:val>
            <c:numRef>
              <c:f>Sheet8!$J$8:$J$19</c:f>
              <c:numCache>
                <c:formatCode>General</c:formatCode>
                <c:ptCount val="12"/>
                <c:pt idx="0">
                  <c:v>0.5886</c:v>
                </c:pt>
                <c:pt idx="1">
                  <c:v>0.6022</c:v>
                </c:pt>
                <c:pt idx="2">
                  <c:v>0.6052</c:v>
                </c:pt>
                <c:pt idx="3">
                  <c:v>0.6104</c:v>
                </c:pt>
                <c:pt idx="4">
                  <c:v>0.6022</c:v>
                </c:pt>
                <c:pt idx="5">
                  <c:v>0.6134</c:v>
                </c:pt>
                <c:pt idx="6">
                  <c:v>0.605</c:v>
                </c:pt>
                <c:pt idx="7">
                  <c:v>0.6136</c:v>
                </c:pt>
                <c:pt idx="8">
                  <c:v>0.6126</c:v>
                </c:pt>
                <c:pt idx="9">
                  <c:v>0.6184</c:v>
                </c:pt>
                <c:pt idx="10">
                  <c:v>0.616</c:v>
                </c:pt>
                <c:pt idx="11">
                  <c:v>0.6178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Sheet8!$K$1</c:f>
              <c:strCache>
                <c:ptCount val="1"/>
                <c:pt idx="0">
                  <c:v>GRU/0.5/512/ON/rmsprop</c:v>
                </c:pt>
              </c:strCache>
            </c:strRef>
          </c:tx>
          <c:marker>
            <c:symbol val="none"/>
          </c:marker>
          <c:cat>
            <c:strRef>
              <c:f>Sheet8!$I$8:$I$19</c:f>
              <c:strCache>
                <c:ptCount val="12"/>
                <c:pt idx="0">
                  <c:v>E07</c:v>
                </c:pt>
                <c:pt idx="1">
                  <c:v>E08</c:v>
                </c:pt>
                <c:pt idx="2">
                  <c:v>E09</c:v>
                </c:pt>
                <c:pt idx="3">
                  <c:v>E10</c:v>
                </c:pt>
                <c:pt idx="4">
                  <c:v>E11</c:v>
                </c:pt>
                <c:pt idx="5">
                  <c:v>E12</c:v>
                </c:pt>
                <c:pt idx="6">
                  <c:v>E13</c:v>
                </c:pt>
                <c:pt idx="7">
                  <c:v>E14</c:v>
                </c:pt>
                <c:pt idx="8">
                  <c:v>E15</c:v>
                </c:pt>
                <c:pt idx="9">
                  <c:v>E16</c:v>
                </c:pt>
                <c:pt idx="10">
                  <c:v>E17</c:v>
                </c:pt>
                <c:pt idx="11">
                  <c:v>E18</c:v>
                </c:pt>
              </c:strCache>
            </c:strRef>
          </c:cat>
          <c:val>
            <c:numRef>
              <c:f>Sheet8!$K$8:$K$19</c:f>
              <c:numCache>
                <c:formatCode>General</c:formatCode>
                <c:ptCount val="12"/>
                <c:pt idx="0">
                  <c:v>0.5956</c:v>
                </c:pt>
                <c:pt idx="1">
                  <c:v>0.5882</c:v>
                </c:pt>
                <c:pt idx="2">
                  <c:v>0.6002</c:v>
                </c:pt>
                <c:pt idx="3">
                  <c:v>0.6106</c:v>
                </c:pt>
                <c:pt idx="4">
                  <c:v>0.5982</c:v>
                </c:pt>
                <c:pt idx="5">
                  <c:v>0.618</c:v>
                </c:pt>
                <c:pt idx="6">
                  <c:v>0.6044</c:v>
                </c:pt>
                <c:pt idx="7">
                  <c:v>0.6086</c:v>
                </c:pt>
                <c:pt idx="8">
                  <c:v>0.6112</c:v>
                </c:pt>
                <c:pt idx="9">
                  <c:v>0.6088</c:v>
                </c:pt>
                <c:pt idx="10">
                  <c:v>0.6144</c:v>
                </c:pt>
                <c:pt idx="11">
                  <c:v>0.6068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Sheet8!$L$1</c:f>
              <c:strCache>
                <c:ptCount val="1"/>
                <c:pt idx="0">
                  <c:v>GRU/0.4/256/ON/rmsprop</c:v>
                </c:pt>
              </c:strCache>
            </c:strRef>
          </c:tx>
          <c:marker>
            <c:symbol val="none"/>
          </c:marker>
          <c:cat>
            <c:strRef>
              <c:f>Sheet8!$I$8:$I$19</c:f>
              <c:strCache>
                <c:ptCount val="12"/>
                <c:pt idx="0">
                  <c:v>E07</c:v>
                </c:pt>
                <c:pt idx="1">
                  <c:v>E08</c:v>
                </c:pt>
                <c:pt idx="2">
                  <c:v>E09</c:v>
                </c:pt>
                <c:pt idx="3">
                  <c:v>E10</c:v>
                </c:pt>
                <c:pt idx="4">
                  <c:v>E11</c:v>
                </c:pt>
                <c:pt idx="5">
                  <c:v>E12</c:v>
                </c:pt>
                <c:pt idx="6">
                  <c:v>E13</c:v>
                </c:pt>
                <c:pt idx="7">
                  <c:v>E14</c:v>
                </c:pt>
                <c:pt idx="8">
                  <c:v>E15</c:v>
                </c:pt>
                <c:pt idx="9">
                  <c:v>E16</c:v>
                </c:pt>
                <c:pt idx="10">
                  <c:v>E17</c:v>
                </c:pt>
                <c:pt idx="11">
                  <c:v>E18</c:v>
                </c:pt>
              </c:strCache>
            </c:strRef>
          </c:cat>
          <c:val>
            <c:numRef>
              <c:f>Sheet8!$L$8:$L$19</c:f>
              <c:numCache>
                <c:formatCode>General</c:formatCode>
                <c:ptCount val="12"/>
                <c:pt idx="0">
                  <c:v>0.5948</c:v>
                </c:pt>
                <c:pt idx="1">
                  <c:v>0.608</c:v>
                </c:pt>
                <c:pt idx="2">
                  <c:v>0.6002</c:v>
                </c:pt>
                <c:pt idx="3">
                  <c:v>0.609</c:v>
                </c:pt>
                <c:pt idx="4">
                  <c:v>0.6034</c:v>
                </c:pt>
                <c:pt idx="5">
                  <c:v>0.604</c:v>
                </c:pt>
                <c:pt idx="6">
                  <c:v>0.611</c:v>
                </c:pt>
                <c:pt idx="7">
                  <c:v>0.605</c:v>
                </c:pt>
                <c:pt idx="8">
                  <c:v>0.6068</c:v>
                </c:pt>
                <c:pt idx="9">
                  <c:v>0.6126</c:v>
                </c:pt>
                <c:pt idx="10">
                  <c:v>0.6036</c:v>
                </c:pt>
                <c:pt idx="11">
                  <c:v>0.6018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Sheet8!$M$1</c:f>
              <c:strCache>
                <c:ptCount val="1"/>
                <c:pt idx="0">
                  <c:v>GRU/0.5/256/ON/rmsprop</c:v>
                </c:pt>
              </c:strCache>
            </c:strRef>
          </c:tx>
          <c:marker>
            <c:symbol val="none"/>
          </c:marker>
          <c:cat>
            <c:strRef>
              <c:f>Sheet8!$I$8:$I$19</c:f>
              <c:strCache>
                <c:ptCount val="12"/>
                <c:pt idx="0">
                  <c:v>E07</c:v>
                </c:pt>
                <c:pt idx="1">
                  <c:v>E08</c:v>
                </c:pt>
                <c:pt idx="2">
                  <c:v>E09</c:v>
                </c:pt>
                <c:pt idx="3">
                  <c:v>E10</c:v>
                </c:pt>
                <c:pt idx="4">
                  <c:v>E11</c:v>
                </c:pt>
                <c:pt idx="5">
                  <c:v>E12</c:v>
                </c:pt>
                <c:pt idx="6">
                  <c:v>E13</c:v>
                </c:pt>
                <c:pt idx="7">
                  <c:v>E14</c:v>
                </c:pt>
                <c:pt idx="8">
                  <c:v>E15</c:v>
                </c:pt>
                <c:pt idx="9">
                  <c:v>E16</c:v>
                </c:pt>
                <c:pt idx="10">
                  <c:v>E17</c:v>
                </c:pt>
                <c:pt idx="11">
                  <c:v>E18</c:v>
                </c:pt>
              </c:strCache>
            </c:strRef>
          </c:cat>
          <c:val>
            <c:numRef>
              <c:f>Sheet8!$M$8:$M$19</c:f>
              <c:numCache>
                <c:formatCode>General</c:formatCode>
                <c:ptCount val="12"/>
                <c:pt idx="0">
                  <c:v>0.6018</c:v>
                </c:pt>
                <c:pt idx="1">
                  <c:v>0.5992</c:v>
                </c:pt>
                <c:pt idx="2">
                  <c:v>0.6</c:v>
                </c:pt>
                <c:pt idx="3">
                  <c:v>0.61</c:v>
                </c:pt>
                <c:pt idx="4">
                  <c:v>0.612</c:v>
                </c:pt>
                <c:pt idx="5">
                  <c:v>0.6174</c:v>
                </c:pt>
                <c:pt idx="6">
                  <c:v>0.6142</c:v>
                </c:pt>
                <c:pt idx="7">
                  <c:v>0.6168</c:v>
                </c:pt>
                <c:pt idx="8">
                  <c:v>0.623</c:v>
                </c:pt>
                <c:pt idx="9">
                  <c:v>0.6212</c:v>
                </c:pt>
                <c:pt idx="10">
                  <c:v>0.6116</c:v>
                </c:pt>
                <c:pt idx="11">
                  <c:v>0.6066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Sheet8!$N$1</c:f>
              <c:strCache>
                <c:ptCount val="1"/>
                <c:pt idx="0">
                  <c:v>GRU/0.6/256/ON/rmsprop</c:v>
                </c:pt>
              </c:strCache>
            </c:strRef>
          </c:tx>
          <c:marker>
            <c:symbol val="none"/>
          </c:marker>
          <c:cat>
            <c:strRef>
              <c:f>Sheet8!$I$8:$I$19</c:f>
              <c:strCache>
                <c:ptCount val="12"/>
                <c:pt idx="0">
                  <c:v>E07</c:v>
                </c:pt>
                <c:pt idx="1">
                  <c:v>E08</c:v>
                </c:pt>
                <c:pt idx="2">
                  <c:v>E09</c:v>
                </c:pt>
                <c:pt idx="3">
                  <c:v>E10</c:v>
                </c:pt>
                <c:pt idx="4">
                  <c:v>E11</c:v>
                </c:pt>
                <c:pt idx="5">
                  <c:v>E12</c:v>
                </c:pt>
                <c:pt idx="6">
                  <c:v>E13</c:v>
                </c:pt>
                <c:pt idx="7">
                  <c:v>E14</c:v>
                </c:pt>
                <c:pt idx="8">
                  <c:v>E15</c:v>
                </c:pt>
                <c:pt idx="9">
                  <c:v>E16</c:v>
                </c:pt>
                <c:pt idx="10">
                  <c:v>E17</c:v>
                </c:pt>
                <c:pt idx="11">
                  <c:v>E18</c:v>
                </c:pt>
              </c:strCache>
            </c:strRef>
          </c:cat>
          <c:val>
            <c:numRef>
              <c:f>Sheet8!$N$8:$N$19</c:f>
              <c:numCache>
                <c:formatCode>General</c:formatCode>
                <c:ptCount val="12"/>
                <c:pt idx="0">
                  <c:v>0.6024</c:v>
                </c:pt>
                <c:pt idx="1">
                  <c:v>0.6016</c:v>
                </c:pt>
                <c:pt idx="2">
                  <c:v>0.605</c:v>
                </c:pt>
                <c:pt idx="3">
                  <c:v>0.6088</c:v>
                </c:pt>
                <c:pt idx="4">
                  <c:v>0.6126</c:v>
                </c:pt>
                <c:pt idx="5">
                  <c:v>0.6066</c:v>
                </c:pt>
                <c:pt idx="6">
                  <c:v>0.6102</c:v>
                </c:pt>
                <c:pt idx="7">
                  <c:v>0.6116</c:v>
                </c:pt>
                <c:pt idx="8">
                  <c:v>0.6156</c:v>
                </c:pt>
                <c:pt idx="9">
                  <c:v>0.6166</c:v>
                </c:pt>
                <c:pt idx="10">
                  <c:v>0.6074</c:v>
                </c:pt>
                <c:pt idx="11">
                  <c:v>0.6188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733048"/>
        <c:axId val="-2120596872"/>
      </c:lineChart>
      <c:catAx>
        <c:axId val="-2141733048"/>
        <c:scaling>
          <c:orientation val="minMax"/>
        </c:scaling>
        <c:delete val="0"/>
        <c:axPos val="b"/>
        <c:majorTickMark val="out"/>
        <c:minorTickMark val="none"/>
        <c:tickLblPos val="nextTo"/>
        <c:crossAx val="-2120596872"/>
        <c:crosses val="autoZero"/>
        <c:auto val="1"/>
        <c:lblAlgn val="ctr"/>
        <c:lblOffset val="100"/>
        <c:noMultiLvlLbl val="0"/>
      </c:catAx>
      <c:valAx>
        <c:axId val="-2120596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417330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Loss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Sheet8!$J$21</c:f>
              <c:strCache>
                <c:ptCount val="1"/>
                <c:pt idx="0">
                  <c:v>GRU/0.6/512/ON/rmsprop</c:v>
                </c:pt>
              </c:strCache>
            </c:strRef>
          </c:tx>
          <c:marker>
            <c:symbol val="none"/>
          </c:marker>
          <c:cat>
            <c:strRef>
              <c:f>Sheet8!$I$27:$I$39</c:f>
              <c:strCache>
                <c:ptCount val="13"/>
                <c:pt idx="0">
                  <c:v>E06</c:v>
                </c:pt>
                <c:pt idx="1">
                  <c:v>E07</c:v>
                </c:pt>
                <c:pt idx="2">
                  <c:v>E08</c:v>
                </c:pt>
                <c:pt idx="3">
                  <c:v>E09</c:v>
                </c:pt>
                <c:pt idx="4">
                  <c:v>E10</c:v>
                </c:pt>
                <c:pt idx="5">
                  <c:v>E11</c:v>
                </c:pt>
                <c:pt idx="6">
                  <c:v>E12</c:v>
                </c:pt>
                <c:pt idx="7">
                  <c:v>E13</c:v>
                </c:pt>
                <c:pt idx="8">
                  <c:v>E14</c:v>
                </c:pt>
                <c:pt idx="9">
                  <c:v>E15</c:v>
                </c:pt>
                <c:pt idx="10">
                  <c:v>E16</c:v>
                </c:pt>
                <c:pt idx="11">
                  <c:v>E17</c:v>
                </c:pt>
                <c:pt idx="12">
                  <c:v>E18</c:v>
                </c:pt>
              </c:strCache>
            </c:strRef>
          </c:cat>
          <c:val>
            <c:numRef>
              <c:f>Sheet8!$J$27:$J$39</c:f>
              <c:numCache>
                <c:formatCode>General</c:formatCode>
                <c:ptCount val="13"/>
                <c:pt idx="0">
                  <c:v>1.4541</c:v>
                </c:pt>
                <c:pt idx="1">
                  <c:v>1.4385</c:v>
                </c:pt>
                <c:pt idx="2">
                  <c:v>1.3708</c:v>
                </c:pt>
                <c:pt idx="3">
                  <c:v>1.3514</c:v>
                </c:pt>
                <c:pt idx="4">
                  <c:v>1.3364</c:v>
                </c:pt>
                <c:pt idx="5">
                  <c:v>1.4163</c:v>
                </c:pt>
                <c:pt idx="6">
                  <c:v>1.3723</c:v>
                </c:pt>
                <c:pt idx="7">
                  <c:v>1.3585</c:v>
                </c:pt>
                <c:pt idx="8">
                  <c:v>1.356</c:v>
                </c:pt>
                <c:pt idx="9">
                  <c:v>1.3984</c:v>
                </c:pt>
                <c:pt idx="10">
                  <c:v>1.4053</c:v>
                </c:pt>
                <c:pt idx="11">
                  <c:v>1.3837</c:v>
                </c:pt>
                <c:pt idx="12">
                  <c:v>1.4499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Sheet8!$K$21</c:f>
              <c:strCache>
                <c:ptCount val="1"/>
                <c:pt idx="0">
                  <c:v>GRU/0.5/512/ON/rmsprop</c:v>
                </c:pt>
              </c:strCache>
            </c:strRef>
          </c:tx>
          <c:marker>
            <c:symbol val="none"/>
          </c:marker>
          <c:cat>
            <c:strRef>
              <c:f>Sheet8!$I$27:$I$39</c:f>
              <c:strCache>
                <c:ptCount val="13"/>
                <c:pt idx="0">
                  <c:v>E06</c:v>
                </c:pt>
                <c:pt idx="1">
                  <c:v>E07</c:v>
                </c:pt>
                <c:pt idx="2">
                  <c:v>E08</c:v>
                </c:pt>
                <c:pt idx="3">
                  <c:v>E09</c:v>
                </c:pt>
                <c:pt idx="4">
                  <c:v>E10</c:v>
                </c:pt>
                <c:pt idx="5">
                  <c:v>E11</c:v>
                </c:pt>
                <c:pt idx="6">
                  <c:v>E12</c:v>
                </c:pt>
                <c:pt idx="7">
                  <c:v>E13</c:v>
                </c:pt>
                <c:pt idx="8">
                  <c:v>E14</c:v>
                </c:pt>
                <c:pt idx="9">
                  <c:v>E15</c:v>
                </c:pt>
                <c:pt idx="10">
                  <c:v>E16</c:v>
                </c:pt>
                <c:pt idx="11">
                  <c:v>E17</c:v>
                </c:pt>
                <c:pt idx="12">
                  <c:v>E18</c:v>
                </c:pt>
              </c:strCache>
            </c:strRef>
          </c:cat>
          <c:val>
            <c:numRef>
              <c:f>Sheet8!$K$27:$K$39</c:f>
              <c:numCache>
                <c:formatCode>General</c:formatCode>
                <c:ptCount val="13"/>
                <c:pt idx="0">
                  <c:v>1.3881</c:v>
                </c:pt>
                <c:pt idx="1">
                  <c:v>1.3588</c:v>
                </c:pt>
                <c:pt idx="2">
                  <c:v>1.4071</c:v>
                </c:pt>
                <c:pt idx="3">
                  <c:v>1.3698</c:v>
                </c:pt>
                <c:pt idx="4">
                  <c:v>1.3767</c:v>
                </c:pt>
                <c:pt idx="5">
                  <c:v>1.4049</c:v>
                </c:pt>
                <c:pt idx="6">
                  <c:v>1.3693</c:v>
                </c:pt>
                <c:pt idx="7">
                  <c:v>1.3749</c:v>
                </c:pt>
                <c:pt idx="8">
                  <c:v>1.407</c:v>
                </c:pt>
                <c:pt idx="9">
                  <c:v>1.4398</c:v>
                </c:pt>
                <c:pt idx="10">
                  <c:v>1.424</c:v>
                </c:pt>
                <c:pt idx="11">
                  <c:v>1.4454</c:v>
                </c:pt>
                <c:pt idx="12">
                  <c:v>1.4908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Sheet8!$L$21</c:f>
              <c:strCache>
                <c:ptCount val="1"/>
                <c:pt idx="0">
                  <c:v>GRU/0.4/256/ON/rmsprop</c:v>
                </c:pt>
              </c:strCache>
            </c:strRef>
          </c:tx>
          <c:marker>
            <c:symbol val="none"/>
          </c:marker>
          <c:cat>
            <c:strRef>
              <c:f>Sheet8!$I$27:$I$39</c:f>
              <c:strCache>
                <c:ptCount val="13"/>
                <c:pt idx="0">
                  <c:v>E06</c:v>
                </c:pt>
                <c:pt idx="1">
                  <c:v>E07</c:v>
                </c:pt>
                <c:pt idx="2">
                  <c:v>E08</c:v>
                </c:pt>
                <c:pt idx="3">
                  <c:v>E09</c:v>
                </c:pt>
                <c:pt idx="4">
                  <c:v>E10</c:v>
                </c:pt>
                <c:pt idx="5">
                  <c:v>E11</c:v>
                </c:pt>
                <c:pt idx="6">
                  <c:v>E12</c:v>
                </c:pt>
                <c:pt idx="7">
                  <c:v>E13</c:v>
                </c:pt>
                <c:pt idx="8">
                  <c:v>E14</c:v>
                </c:pt>
                <c:pt idx="9">
                  <c:v>E15</c:v>
                </c:pt>
                <c:pt idx="10">
                  <c:v>E16</c:v>
                </c:pt>
                <c:pt idx="11">
                  <c:v>E17</c:v>
                </c:pt>
                <c:pt idx="12">
                  <c:v>E18</c:v>
                </c:pt>
              </c:strCache>
            </c:strRef>
          </c:cat>
          <c:val>
            <c:numRef>
              <c:f>Sheet8!$L$27:$L$39</c:f>
              <c:numCache>
                <c:formatCode>General</c:formatCode>
                <c:ptCount val="13"/>
                <c:pt idx="0">
                  <c:v>1.4086</c:v>
                </c:pt>
                <c:pt idx="1">
                  <c:v>1.3843</c:v>
                </c:pt>
                <c:pt idx="2">
                  <c:v>1.3567</c:v>
                </c:pt>
                <c:pt idx="3">
                  <c:v>1.36</c:v>
                </c:pt>
                <c:pt idx="4">
                  <c:v>1.3478</c:v>
                </c:pt>
                <c:pt idx="5">
                  <c:v>1.3756</c:v>
                </c:pt>
                <c:pt idx="6">
                  <c:v>1.391</c:v>
                </c:pt>
                <c:pt idx="7">
                  <c:v>1.3968</c:v>
                </c:pt>
                <c:pt idx="8">
                  <c:v>1.4174</c:v>
                </c:pt>
                <c:pt idx="9">
                  <c:v>1.4596</c:v>
                </c:pt>
                <c:pt idx="10">
                  <c:v>1.4602</c:v>
                </c:pt>
                <c:pt idx="11">
                  <c:v>1.4968</c:v>
                </c:pt>
                <c:pt idx="12">
                  <c:v>1.557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Sheet8!$M$21</c:f>
              <c:strCache>
                <c:ptCount val="1"/>
                <c:pt idx="0">
                  <c:v>GRU/0.5/256/ON/rmsprop</c:v>
                </c:pt>
              </c:strCache>
            </c:strRef>
          </c:tx>
          <c:marker>
            <c:symbol val="none"/>
          </c:marker>
          <c:cat>
            <c:strRef>
              <c:f>Sheet8!$I$27:$I$39</c:f>
              <c:strCache>
                <c:ptCount val="13"/>
                <c:pt idx="0">
                  <c:v>E06</c:v>
                </c:pt>
                <c:pt idx="1">
                  <c:v>E07</c:v>
                </c:pt>
                <c:pt idx="2">
                  <c:v>E08</c:v>
                </c:pt>
                <c:pt idx="3">
                  <c:v>E09</c:v>
                </c:pt>
                <c:pt idx="4">
                  <c:v>E10</c:v>
                </c:pt>
                <c:pt idx="5">
                  <c:v>E11</c:v>
                </c:pt>
                <c:pt idx="6">
                  <c:v>E12</c:v>
                </c:pt>
                <c:pt idx="7">
                  <c:v>E13</c:v>
                </c:pt>
                <c:pt idx="8">
                  <c:v>E14</c:v>
                </c:pt>
                <c:pt idx="9">
                  <c:v>E15</c:v>
                </c:pt>
                <c:pt idx="10">
                  <c:v>E16</c:v>
                </c:pt>
                <c:pt idx="11">
                  <c:v>E17</c:v>
                </c:pt>
                <c:pt idx="12">
                  <c:v>E18</c:v>
                </c:pt>
              </c:strCache>
            </c:strRef>
          </c:cat>
          <c:val>
            <c:numRef>
              <c:f>Sheet8!$M$27:$M$39</c:f>
              <c:numCache>
                <c:formatCode>General</c:formatCode>
                <c:ptCount val="13"/>
                <c:pt idx="0">
                  <c:v>1.4109</c:v>
                </c:pt>
                <c:pt idx="1">
                  <c:v>1.3628</c:v>
                </c:pt>
                <c:pt idx="2">
                  <c:v>1.3637</c:v>
                </c:pt>
                <c:pt idx="3">
                  <c:v>1.3564</c:v>
                </c:pt>
                <c:pt idx="4">
                  <c:v>1.3298</c:v>
                </c:pt>
                <c:pt idx="5">
                  <c:v>1.3554</c:v>
                </c:pt>
                <c:pt idx="6">
                  <c:v>1.3511</c:v>
                </c:pt>
                <c:pt idx="7">
                  <c:v>1.3584</c:v>
                </c:pt>
                <c:pt idx="8">
                  <c:v>1.3608</c:v>
                </c:pt>
                <c:pt idx="9">
                  <c:v>1.3759</c:v>
                </c:pt>
                <c:pt idx="10">
                  <c:v>1.3897</c:v>
                </c:pt>
                <c:pt idx="11">
                  <c:v>1.4249</c:v>
                </c:pt>
                <c:pt idx="12">
                  <c:v>1.4656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Sheet8!$N$21</c:f>
              <c:strCache>
                <c:ptCount val="1"/>
                <c:pt idx="0">
                  <c:v>GRU/0.6/256/ON/rmsprop</c:v>
                </c:pt>
              </c:strCache>
            </c:strRef>
          </c:tx>
          <c:marker>
            <c:symbol val="none"/>
          </c:marker>
          <c:cat>
            <c:strRef>
              <c:f>Sheet8!$I$27:$I$39</c:f>
              <c:strCache>
                <c:ptCount val="13"/>
                <c:pt idx="0">
                  <c:v>E06</c:v>
                </c:pt>
                <c:pt idx="1">
                  <c:v>E07</c:v>
                </c:pt>
                <c:pt idx="2">
                  <c:v>E08</c:v>
                </c:pt>
                <c:pt idx="3">
                  <c:v>E09</c:v>
                </c:pt>
                <c:pt idx="4">
                  <c:v>E10</c:v>
                </c:pt>
                <c:pt idx="5">
                  <c:v>E11</c:v>
                </c:pt>
                <c:pt idx="6">
                  <c:v>E12</c:v>
                </c:pt>
                <c:pt idx="7">
                  <c:v>E13</c:v>
                </c:pt>
                <c:pt idx="8">
                  <c:v>E14</c:v>
                </c:pt>
                <c:pt idx="9">
                  <c:v>E15</c:v>
                </c:pt>
                <c:pt idx="10">
                  <c:v>E16</c:v>
                </c:pt>
                <c:pt idx="11">
                  <c:v>E17</c:v>
                </c:pt>
                <c:pt idx="12">
                  <c:v>E18</c:v>
                </c:pt>
              </c:strCache>
            </c:strRef>
          </c:cat>
          <c:val>
            <c:numRef>
              <c:f>Sheet8!$N$27:$N$39</c:f>
              <c:numCache>
                <c:formatCode>General</c:formatCode>
                <c:ptCount val="13"/>
                <c:pt idx="0">
                  <c:v>1.4315</c:v>
                </c:pt>
                <c:pt idx="1">
                  <c:v>1.3734</c:v>
                </c:pt>
                <c:pt idx="2">
                  <c:v>1.3759</c:v>
                </c:pt>
                <c:pt idx="3">
                  <c:v>1.3381</c:v>
                </c:pt>
                <c:pt idx="4">
                  <c:v>1.3516</c:v>
                </c:pt>
                <c:pt idx="5">
                  <c:v>1.3022</c:v>
                </c:pt>
                <c:pt idx="6">
                  <c:v>1.3408</c:v>
                </c:pt>
                <c:pt idx="7">
                  <c:v>1.3292</c:v>
                </c:pt>
                <c:pt idx="8">
                  <c:v>1.3684</c:v>
                </c:pt>
                <c:pt idx="9">
                  <c:v>1.3414</c:v>
                </c:pt>
                <c:pt idx="10">
                  <c:v>1.3342</c:v>
                </c:pt>
                <c:pt idx="11">
                  <c:v>1.3766</c:v>
                </c:pt>
                <c:pt idx="12">
                  <c:v>1.3597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Sheet8!$O$21</c:f>
              <c:strCache>
                <c:ptCount val="1"/>
                <c:pt idx="0">
                  <c:v>GRU/0.5/256/ON/adadelta</c:v>
                </c:pt>
              </c:strCache>
            </c:strRef>
          </c:tx>
          <c:marker>
            <c:symbol val="none"/>
          </c:marker>
          <c:cat>
            <c:strRef>
              <c:f>Sheet8!$I$27:$I$39</c:f>
              <c:strCache>
                <c:ptCount val="13"/>
                <c:pt idx="0">
                  <c:v>E06</c:v>
                </c:pt>
                <c:pt idx="1">
                  <c:v>E07</c:v>
                </c:pt>
                <c:pt idx="2">
                  <c:v>E08</c:v>
                </c:pt>
                <c:pt idx="3">
                  <c:v>E09</c:v>
                </c:pt>
                <c:pt idx="4">
                  <c:v>E10</c:v>
                </c:pt>
                <c:pt idx="5">
                  <c:v>E11</c:v>
                </c:pt>
                <c:pt idx="6">
                  <c:v>E12</c:v>
                </c:pt>
                <c:pt idx="7">
                  <c:v>E13</c:v>
                </c:pt>
                <c:pt idx="8">
                  <c:v>E14</c:v>
                </c:pt>
                <c:pt idx="9">
                  <c:v>E15</c:v>
                </c:pt>
                <c:pt idx="10">
                  <c:v>E16</c:v>
                </c:pt>
                <c:pt idx="11">
                  <c:v>E17</c:v>
                </c:pt>
                <c:pt idx="12">
                  <c:v>E18</c:v>
                </c:pt>
              </c:strCache>
            </c:strRef>
          </c:cat>
          <c:val>
            <c:numRef>
              <c:f>Sheet8!$O$27:$O$39</c:f>
              <c:numCache>
                <c:formatCode>General</c:formatCode>
                <c:ptCount val="13"/>
                <c:pt idx="0">
                  <c:v>1.3621</c:v>
                </c:pt>
                <c:pt idx="1">
                  <c:v>1.3543</c:v>
                </c:pt>
                <c:pt idx="2">
                  <c:v>1.3701</c:v>
                </c:pt>
                <c:pt idx="3">
                  <c:v>1.367</c:v>
                </c:pt>
                <c:pt idx="4">
                  <c:v>1.3529</c:v>
                </c:pt>
                <c:pt idx="5">
                  <c:v>1.3951</c:v>
                </c:pt>
                <c:pt idx="6">
                  <c:v>1.4293</c:v>
                </c:pt>
                <c:pt idx="7">
                  <c:v>1.4612</c:v>
                </c:pt>
                <c:pt idx="8">
                  <c:v>1.455</c:v>
                </c:pt>
                <c:pt idx="9">
                  <c:v>1.4952</c:v>
                </c:pt>
                <c:pt idx="10">
                  <c:v>1.5591</c:v>
                </c:pt>
                <c:pt idx="11">
                  <c:v>1.6235</c:v>
                </c:pt>
                <c:pt idx="12">
                  <c:v>1.6758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9888072"/>
        <c:axId val="2143061464"/>
      </c:lineChart>
      <c:catAx>
        <c:axId val="2129888072"/>
        <c:scaling>
          <c:orientation val="minMax"/>
        </c:scaling>
        <c:delete val="0"/>
        <c:axPos val="b"/>
        <c:majorTickMark val="out"/>
        <c:minorTickMark val="none"/>
        <c:tickLblPos val="nextTo"/>
        <c:crossAx val="2143061464"/>
        <c:crosses val="autoZero"/>
        <c:auto val="1"/>
        <c:lblAlgn val="ctr"/>
        <c:lblOffset val="100"/>
        <c:noMultiLvlLbl val="0"/>
      </c:catAx>
      <c:valAx>
        <c:axId val="2143061464"/>
        <c:scaling>
          <c:orientation val="minMax"/>
          <c:min val="1.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98880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Relationship Id="rId2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4" Type="http://schemas.openxmlformats.org/officeDocument/2006/relationships/chart" Target="../charts/chart12.xml"/><Relationship Id="rId5" Type="http://schemas.openxmlformats.org/officeDocument/2006/relationships/chart" Target="../charts/chart13.xml"/><Relationship Id="rId6" Type="http://schemas.openxmlformats.org/officeDocument/2006/relationships/chart" Target="../charts/chart14.xml"/><Relationship Id="rId1" Type="http://schemas.openxmlformats.org/officeDocument/2006/relationships/chart" Target="../charts/chart9.xml"/><Relationship Id="rId2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Relationship Id="rId2" Type="http://schemas.openxmlformats.org/officeDocument/2006/relationships/chart" Target="../charts/chart1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Relationship Id="rId2" Type="http://schemas.openxmlformats.org/officeDocument/2006/relationships/chart" Target="../charts/chart1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Relationship Id="rId2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368300</xdr:colOff>
      <xdr:row>14</xdr:row>
      <xdr:rowOff>127000</xdr:rowOff>
    </xdr:from>
    <xdr:to>
      <xdr:col>9</xdr:col>
      <xdr:colOff>254000</xdr:colOff>
      <xdr:row>38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25400</xdr:colOff>
      <xdr:row>14</xdr:row>
      <xdr:rowOff>127000</xdr:rowOff>
    </xdr:from>
    <xdr:to>
      <xdr:col>20</xdr:col>
      <xdr:colOff>381000</xdr:colOff>
      <xdr:row>38</xdr:row>
      <xdr:rowOff>25400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317500</xdr:colOff>
      <xdr:row>12</xdr:row>
      <xdr:rowOff>127000</xdr:rowOff>
    </xdr:from>
    <xdr:to>
      <xdr:col>9</xdr:col>
      <xdr:colOff>127000</xdr:colOff>
      <xdr:row>36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482600</xdr:colOff>
      <xdr:row>12</xdr:row>
      <xdr:rowOff>139700</xdr:rowOff>
    </xdr:from>
    <xdr:to>
      <xdr:col>17</xdr:col>
      <xdr:colOff>215900</xdr:colOff>
      <xdr:row>36</xdr:row>
      <xdr:rowOff>38100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558800</xdr:colOff>
      <xdr:row>14</xdr:row>
      <xdr:rowOff>127000</xdr:rowOff>
    </xdr:from>
    <xdr:to>
      <xdr:col>10</xdr:col>
      <xdr:colOff>444500</xdr:colOff>
      <xdr:row>38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25400</xdr:colOff>
      <xdr:row>14</xdr:row>
      <xdr:rowOff>127000</xdr:rowOff>
    </xdr:from>
    <xdr:to>
      <xdr:col>21</xdr:col>
      <xdr:colOff>381000</xdr:colOff>
      <xdr:row>38</xdr:row>
      <xdr:rowOff>25400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482600</xdr:colOff>
      <xdr:row>12</xdr:row>
      <xdr:rowOff>63500</xdr:rowOff>
    </xdr:from>
    <xdr:to>
      <xdr:col>10</xdr:col>
      <xdr:colOff>368300</xdr:colOff>
      <xdr:row>35</xdr:row>
      <xdr:rowOff>127000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25400</xdr:colOff>
      <xdr:row>12</xdr:row>
      <xdr:rowOff>165100</xdr:rowOff>
    </xdr:from>
    <xdr:to>
      <xdr:col>21</xdr:col>
      <xdr:colOff>381000</xdr:colOff>
      <xdr:row>36</xdr:row>
      <xdr:rowOff>63500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13</xdr:row>
      <xdr:rowOff>101600</xdr:rowOff>
    </xdr:from>
    <xdr:to>
      <xdr:col>9</xdr:col>
      <xdr:colOff>279400</xdr:colOff>
      <xdr:row>34</xdr:row>
      <xdr:rowOff>154534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571500</xdr:colOff>
      <xdr:row>16</xdr:row>
      <xdr:rowOff>12700</xdr:rowOff>
    </xdr:from>
    <xdr:to>
      <xdr:col>19</xdr:col>
      <xdr:colOff>673100</xdr:colOff>
      <xdr:row>37</xdr:row>
      <xdr:rowOff>63500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431800</xdr:colOff>
      <xdr:row>32</xdr:row>
      <xdr:rowOff>139700</xdr:rowOff>
    </xdr:from>
    <xdr:to>
      <xdr:col>9</xdr:col>
      <xdr:colOff>254000</xdr:colOff>
      <xdr:row>53</xdr:row>
      <xdr:rowOff>25400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546100</xdr:colOff>
      <xdr:row>35</xdr:row>
      <xdr:rowOff>12700</xdr:rowOff>
    </xdr:from>
    <xdr:to>
      <xdr:col>19</xdr:col>
      <xdr:colOff>660400</xdr:colOff>
      <xdr:row>55</xdr:row>
      <xdr:rowOff>139700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419100</xdr:colOff>
      <xdr:row>50</xdr:row>
      <xdr:rowOff>38100</xdr:rowOff>
    </xdr:from>
    <xdr:to>
      <xdr:col>9</xdr:col>
      <xdr:colOff>330200</xdr:colOff>
      <xdr:row>72</xdr:row>
      <xdr:rowOff>152400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558800</xdr:colOff>
      <xdr:row>51</xdr:row>
      <xdr:rowOff>165100</xdr:rowOff>
    </xdr:from>
    <xdr:to>
      <xdr:col>19</xdr:col>
      <xdr:colOff>647700</xdr:colOff>
      <xdr:row>74</xdr:row>
      <xdr:rowOff>88900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558800</xdr:colOff>
      <xdr:row>14</xdr:row>
      <xdr:rowOff>127000</xdr:rowOff>
    </xdr:from>
    <xdr:to>
      <xdr:col>10</xdr:col>
      <xdr:colOff>444500</xdr:colOff>
      <xdr:row>38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25400</xdr:colOff>
      <xdr:row>14</xdr:row>
      <xdr:rowOff>127000</xdr:rowOff>
    </xdr:from>
    <xdr:to>
      <xdr:col>21</xdr:col>
      <xdr:colOff>381000</xdr:colOff>
      <xdr:row>38</xdr:row>
      <xdr:rowOff>25400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558800</xdr:colOff>
      <xdr:row>14</xdr:row>
      <xdr:rowOff>127000</xdr:rowOff>
    </xdr:from>
    <xdr:to>
      <xdr:col>10</xdr:col>
      <xdr:colOff>444500</xdr:colOff>
      <xdr:row>38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25400</xdr:colOff>
      <xdr:row>14</xdr:row>
      <xdr:rowOff>127000</xdr:rowOff>
    </xdr:from>
    <xdr:to>
      <xdr:col>21</xdr:col>
      <xdr:colOff>381000</xdr:colOff>
      <xdr:row>38</xdr:row>
      <xdr:rowOff>25400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660400</xdr:colOff>
      <xdr:row>2</xdr:row>
      <xdr:rowOff>69850</xdr:rowOff>
    </xdr:from>
    <xdr:to>
      <xdr:col>34</xdr:col>
      <xdr:colOff>533400</xdr:colOff>
      <xdr:row>35</xdr:row>
      <xdr:rowOff>114300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444500</xdr:colOff>
      <xdr:row>30</xdr:row>
      <xdr:rowOff>95250</xdr:rowOff>
    </xdr:from>
    <xdr:to>
      <xdr:col>16</xdr:col>
      <xdr:colOff>406400</xdr:colOff>
      <xdr:row>62</xdr:row>
      <xdr:rowOff>88900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rek Chen" refreshedDate="42500.653776041669" createdVersion="4" refreshedVersion="4" minRefreshableVersion="3" recordCount="426">
  <cacheSource type="worksheet">
    <worksheetSource ref="A1:L427" sheet="Main"/>
  </cacheSource>
  <cacheFields count="12">
    <cacheField name="Cell Type" numFmtId="0">
      <sharedItems count="1">
        <s v="LSTM"/>
      </sharedItems>
    </cacheField>
    <cacheField name="Input" numFmtId="0">
      <sharedItems containsSemiMixedTypes="0" containsString="0" containsNumber="1" minValue="0.1" maxValue="0.5" count="3">
        <n v="0.5"/>
        <n v="0.1"/>
        <n v="0.3"/>
      </sharedItems>
    </cacheField>
    <cacheField name="Cell Count" numFmtId="0">
      <sharedItems containsSemiMixedTypes="0" containsString="0" containsNumber="1" containsInteger="1" minValue="64" maxValue="256" count="3">
        <n v="128"/>
        <n v="64"/>
        <n v="256"/>
      </sharedItems>
    </cacheField>
    <cacheField name="Multi-layer" numFmtId="0">
      <sharedItems count="2">
        <b v="0"/>
        <b v="1"/>
      </sharedItems>
    </cacheField>
    <cacheField name="Recurrent" numFmtId="0">
      <sharedItems containsMixedTypes="1" containsNumber="1" minValue="0" maxValue="0.2" count="4">
        <s v="OFF"/>
        <s v="ON"/>
        <n v="0" u="1"/>
        <n v="0.2" u="1"/>
      </sharedItems>
    </cacheField>
    <cacheField name="Optimizer" numFmtId="0">
      <sharedItems count="2">
        <s v="rmsprop"/>
        <s v="adam"/>
      </sharedItems>
    </cacheField>
    <cacheField name="Epoch" numFmtId="0">
      <sharedItems count="6">
        <s v="E3"/>
        <s v="E6"/>
        <s v="E2"/>
        <s v="E4"/>
        <s v="E5"/>
        <s v="E1"/>
      </sharedItems>
    </cacheField>
    <cacheField name="Time" numFmtId="0">
      <sharedItems containsSemiMixedTypes="0" containsString="0" containsNumber="1" containsInteger="1" minValue="41" maxValue="312"/>
    </cacheField>
    <cacheField name="Train_Loss" numFmtId="0">
      <sharedItems containsSemiMixedTypes="0" containsString="0" containsNumber="1" minValue="0.1709" maxValue="1.5713999999999999"/>
    </cacheField>
    <cacheField name="Train_Acc" numFmtId="0">
      <sharedItems containsSemiMixedTypes="0" containsString="0" containsNumber="1" minValue="0.51649999999999996" maxValue="0.95199999999999996"/>
    </cacheField>
    <cacheField name="Loss" numFmtId="0">
      <sharedItems containsSemiMixedTypes="0" containsString="0" containsNumber="1" minValue="1.6083000000000001" maxValue="2.6053000000000002"/>
    </cacheField>
    <cacheField name="Acc" numFmtId="0">
      <sharedItems containsSemiMixedTypes="0" containsString="0" containsNumber="1" minValue="0.47149999999999997" maxValue="0.568500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Derek Chen" refreshedDate="42501.352301967592" createdVersion="4" refreshedVersion="4" minRefreshableVersion="3" recordCount="642">
  <cacheSource type="worksheet">
    <worksheetSource ref="A1:L643" sheet="Main"/>
  </cacheSource>
  <cacheFields count="12">
    <cacheField name="Cell Type" numFmtId="0">
      <sharedItems count="2">
        <s v="LSTM"/>
        <s v="GRU"/>
      </sharedItems>
    </cacheField>
    <cacheField name="Input" numFmtId="0">
      <sharedItems containsSemiMixedTypes="0" containsString="0" containsNumber="1" minValue="0.1" maxValue="0.5" count="3">
        <n v="0.5"/>
        <n v="0.1"/>
        <n v="0.3"/>
      </sharedItems>
    </cacheField>
    <cacheField name="Cell Count" numFmtId="0">
      <sharedItems containsSemiMixedTypes="0" containsString="0" containsNumber="1" containsInteger="1" minValue="64" maxValue="256" count="3">
        <n v="128"/>
        <n v="64"/>
        <n v="256"/>
      </sharedItems>
    </cacheField>
    <cacheField name="Multi-layer" numFmtId="0">
      <sharedItems/>
    </cacheField>
    <cacheField name="Recurrent" numFmtId="0">
      <sharedItems containsMixedTypes="1" containsNumber="1" minValue="0" maxValue="0.2" count="4">
        <s v="OFF"/>
        <s v="ON"/>
        <n v="0" u="1"/>
        <n v="0.2" u="1"/>
      </sharedItems>
    </cacheField>
    <cacheField name="Optimizer" numFmtId="0">
      <sharedItems count="2">
        <s v="rmsprop"/>
        <s v="adam"/>
      </sharedItems>
    </cacheField>
    <cacheField name="Epoch" numFmtId="0">
      <sharedItems count="6">
        <s v="E3"/>
        <s v="E6"/>
        <s v="E2"/>
        <s v="E4"/>
        <s v="E5"/>
        <s v="E1"/>
      </sharedItems>
    </cacheField>
    <cacheField name="Time" numFmtId="0">
      <sharedItems containsSemiMixedTypes="0" containsString="0" containsNumber="1" containsInteger="1" minValue="30" maxValue="312"/>
    </cacheField>
    <cacheField name="Train_Loss" numFmtId="0">
      <sharedItems containsSemiMixedTypes="0" containsString="0" containsNumber="1" minValue="0.13469999999999999" maxValue="1.5713999999999999"/>
    </cacheField>
    <cacheField name="Train_Acc" numFmtId="0">
      <sharedItems containsSemiMixedTypes="0" containsString="0" containsNumber="1" minValue="0.51649999999999996" maxValue="0.96130000000000004"/>
    </cacheField>
    <cacheField name="Loss" numFmtId="0">
      <sharedItems containsSemiMixedTypes="0" containsString="0" containsNumber="1" minValue="1.5972999999999999" maxValue="2.6053000000000002"/>
    </cacheField>
    <cacheField name="Acc" numFmtId="0">
      <sharedItems containsSemiMixedTypes="0" containsString="0" containsNumber="1" minValue="0.47149999999999997" maxValue="0.573500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Derek Chen" refreshedDate="42501.357821527781" createdVersion="4" refreshedVersion="4" minRefreshableVersion="3" recordCount="216">
  <cacheSource type="worksheet">
    <worksheetSource ref="A1:L217" sheet="GRU"/>
  </cacheSource>
  <cacheFields count="12">
    <cacheField name="Cell Type" numFmtId="0">
      <sharedItems/>
    </cacheField>
    <cacheField name="Input" numFmtId="0">
      <sharedItems containsSemiMixedTypes="0" containsString="0" containsNumber="1" minValue="0.1" maxValue="0.5" count="3">
        <n v="0.1"/>
        <n v="0.3"/>
        <n v="0.5"/>
      </sharedItems>
    </cacheField>
    <cacheField name="Cell Count" numFmtId="0">
      <sharedItems containsSemiMixedTypes="0" containsString="0" containsNumber="1" containsInteger="1" minValue="64" maxValue="256" count="3">
        <n v="64"/>
        <n v="128"/>
        <n v="256"/>
      </sharedItems>
    </cacheField>
    <cacheField name="Multi-layer" numFmtId="0">
      <sharedItems/>
    </cacheField>
    <cacheField name="Recurrent" numFmtId="0">
      <sharedItems/>
    </cacheField>
    <cacheField name="Optimizer" numFmtId="0">
      <sharedItems/>
    </cacheField>
    <cacheField name="Epoch" numFmtId="0">
      <sharedItems count="6">
        <s v="E1"/>
        <s v="E2"/>
        <s v="E3"/>
        <s v="E4"/>
        <s v="E5"/>
        <s v="E6"/>
      </sharedItems>
    </cacheField>
    <cacheField name="Time" numFmtId="0">
      <sharedItems containsSemiMixedTypes="0" containsString="0" containsNumber="1" containsInteger="1" minValue="30" maxValue="165"/>
    </cacheField>
    <cacheField name="Train_Loss" numFmtId="0">
      <sharedItems containsSemiMixedTypes="0" containsString="0" containsNumber="1" minValue="0.13469999999999999" maxValue="1.3940999999999999"/>
    </cacheField>
    <cacheField name="Train_Acc" numFmtId="0">
      <sharedItems containsSemiMixedTypes="0" containsString="0" containsNumber="1" minValue="0.58499999999999996" maxValue="0.96130000000000004"/>
    </cacheField>
    <cacheField name="Loss" numFmtId="0">
      <sharedItems containsSemiMixedTypes="0" containsString="0" containsNumber="1" minValue="1.5972999999999999" maxValue="2.4268999999999998"/>
    </cacheField>
    <cacheField name="Acc" numFmtId="0">
      <sharedItems containsSemiMixedTypes="0" containsString="0" containsNumber="1" minValue="0.49199999999999999" maxValue="0.573500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Derek Chen" refreshedDate="42501.367330092595" createdVersion="4" refreshedVersion="4" minRefreshableVersion="3" recordCount="432">
  <cacheSource type="worksheet">
    <worksheetSource ref="A1:L433" sheet="Revised"/>
  </cacheSource>
  <cacheFields count="12">
    <cacheField name="Cell Type" numFmtId="0">
      <sharedItems count="2">
        <s v="LSTM"/>
        <s v="GRU"/>
      </sharedItems>
    </cacheField>
    <cacheField name="Input" numFmtId="0">
      <sharedItems containsSemiMixedTypes="0" containsString="0" containsNumber="1" minValue="0.1" maxValue="0.5"/>
    </cacheField>
    <cacheField name="Cell Count" numFmtId="0">
      <sharedItems containsSemiMixedTypes="0" containsString="0" containsNumber="1" containsInteger="1" minValue="64" maxValue="256"/>
    </cacheField>
    <cacheField name="Multi-layer" numFmtId="0">
      <sharedItems/>
    </cacheField>
    <cacheField name="Recurrent" numFmtId="0">
      <sharedItems/>
    </cacheField>
    <cacheField name="Optimizer" numFmtId="0">
      <sharedItems/>
    </cacheField>
    <cacheField name="Epoch" numFmtId="0">
      <sharedItems count="6">
        <s v="E3"/>
        <s v="E6"/>
        <s v="E2"/>
        <s v="E4"/>
        <s v="E5"/>
        <s v="E1"/>
      </sharedItems>
    </cacheField>
    <cacheField name="Time" numFmtId="0">
      <sharedItems containsSemiMixedTypes="0" containsString="0" containsNumber="1" containsInteger="1" minValue="30" maxValue="174"/>
    </cacheField>
    <cacheField name="Train_Loss" numFmtId="0">
      <sharedItems containsSemiMixedTypes="0" containsString="0" containsNumber="1" minValue="0.13469999999999999" maxValue="1.5713999999999999"/>
    </cacheField>
    <cacheField name="Train_Acc" numFmtId="0">
      <sharedItems containsSemiMixedTypes="0" containsString="0" containsNumber="1" minValue="0.51649999999999996" maxValue="0.96130000000000004"/>
    </cacheField>
    <cacheField name="Loss" numFmtId="0">
      <sharedItems containsSemiMixedTypes="0" containsString="0" containsNumber="1" minValue="1.5972999999999999" maxValue="2.6053000000000002"/>
    </cacheField>
    <cacheField name="Acc" numFmtId="0">
      <sharedItems containsSemiMixedTypes="0" containsString="0" containsNumber="1" minValue="0.48799999999999999" maxValue="0.573500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Derek Chen" refreshedDate="42501.704170254627" createdVersion="4" refreshedVersion="4" minRefreshableVersion="3" recordCount="180">
  <cacheSource type="worksheet">
    <worksheetSource ref="A1:G181" sheet="Sheet8"/>
  </cacheSource>
  <cacheFields count="7">
    <cacheField name="Type" numFmtId="0">
      <sharedItems count="10">
        <s v="GRU, 0.5, 256, ON, adadelta"/>
        <s v="GRU, 0.6, 512, ON, rmsprop"/>
        <s v="GRU, 0.5, 512, ON, rmsprop"/>
        <s v="GRU, 0.6, 256, ON, rmsprop"/>
        <s v="GRU, 0.1, 128, ON, rmsprop"/>
        <s v="LSTM, 0.5, 128, ON, rmsprop"/>
        <s v="LSTM, 0.5, 128, OFF, rmsprop"/>
        <s v="LSTM, 0.5, 64, OFF, rmsprop"/>
        <s v="GRU, 0.5, 256, ON, rmsprop"/>
        <s v="GRU, 0.4, 256, ON, rmsprop"/>
      </sharedItems>
    </cacheField>
    <cacheField name="Time" numFmtId="0">
      <sharedItems containsSemiMixedTypes="0" containsString="0" containsNumber="1" containsInteger="1" minValue="77" maxValue="158"/>
    </cacheField>
    <cacheField name="train_loss" numFmtId="0">
      <sharedItems containsSemiMixedTypes="0" containsString="0" containsNumber="1" minValue="0.43440000000000001" maxValue="2.6080000000000001"/>
    </cacheField>
    <cacheField name="Train_acc" numFmtId="0">
      <sharedItems containsSemiMixedTypes="0" containsString="0" containsNumber="1" minValue="0.23039999999999999" maxValue="0.871"/>
    </cacheField>
    <cacheField name="Loss" numFmtId="0">
      <sharedItems containsSemiMixedTypes="0" containsString="0" containsNumber="1" minValue="1.3022" maxValue="2.3247"/>
    </cacheField>
    <cacheField name="Acc" numFmtId="0">
      <sharedItems containsSemiMixedTypes="0" containsString="0" containsNumber="1" minValue="0.33479999999999999" maxValue="0.623"/>
    </cacheField>
    <cacheField name="Epoch" numFmtId="0">
      <sharedItems count="27">
        <s v="E01"/>
        <s v="E02"/>
        <s v="E03"/>
        <s v="E04"/>
        <s v="E05"/>
        <s v="E06"/>
        <s v="E07"/>
        <s v="E08"/>
        <s v="E09"/>
        <s v="E10"/>
        <s v="E11"/>
        <s v="E12"/>
        <s v="E13"/>
        <s v="E14"/>
        <s v="E15"/>
        <s v="E16"/>
        <s v="E17"/>
        <s v="E18"/>
        <s v="E1" u="1"/>
        <s v="E3" u="1"/>
        <s v="E5" u="1"/>
        <s v="E7" u="1"/>
        <s v="E9" u="1"/>
        <s v="E2" u="1"/>
        <s v="E4" u="1"/>
        <s v="E6" u="1"/>
        <s v="E8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6">
  <r>
    <x v="0"/>
    <x v="0"/>
    <x v="0"/>
    <x v="0"/>
    <x v="0"/>
    <x v="0"/>
    <x v="0"/>
    <n v="73"/>
    <n v="1.0187999999999999"/>
    <n v="0.69730000000000003"/>
    <n v="1.6406000000000001"/>
    <n v="0.56850000000000001"/>
  </r>
  <r>
    <x v="0"/>
    <x v="0"/>
    <x v="1"/>
    <x v="0"/>
    <x v="0"/>
    <x v="0"/>
    <x v="1"/>
    <n v="48"/>
    <n v="0.86990000000000001"/>
    <n v="0.74739999999999995"/>
    <n v="1.6950000000000001"/>
    <n v="0.56799999999999995"/>
  </r>
  <r>
    <x v="0"/>
    <x v="0"/>
    <x v="0"/>
    <x v="0"/>
    <x v="1"/>
    <x v="0"/>
    <x v="1"/>
    <n v="75"/>
    <n v="1.1315"/>
    <n v="0.65759999999999996"/>
    <n v="1.6637"/>
    <n v="0.56699999999999995"/>
  </r>
  <r>
    <x v="0"/>
    <x v="1"/>
    <x v="2"/>
    <x v="1"/>
    <x v="0"/>
    <x v="0"/>
    <x v="2"/>
    <n v="282"/>
    <n v="0.76839999999999997"/>
    <n v="0.76839999999999997"/>
    <n v="1.6969000000000001"/>
    <n v="0.56699999999999995"/>
  </r>
  <r>
    <x v="0"/>
    <x v="2"/>
    <x v="1"/>
    <x v="0"/>
    <x v="1"/>
    <x v="0"/>
    <x v="1"/>
    <n v="41"/>
    <n v="1.0868"/>
    <n v="0.67749999999999999"/>
    <n v="1.7091000000000001"/>
    <n v="0.5635"/>
  </r>
  <r>
    <x v="0"/>
    <x v="2"/>
    <x v="0"/>
    <x v="0"/>
    <x v="0"/>
    <x v="0"/>
    <x v="2"/>
    <n v="73"/>
    <n v="0.93379999999999996"/>
    <n v="0.7248"/>
    <n v="1.6236999999999999"/>
    <n v="0.56299999999999994"/>
  </r>
  <r>
    <x v="0"/>
    <x v="2"/>
    <x v="0"/>
    <x v="0"/>
    <x v="1"/>
    <x v="0"/>
    <x v="1"/>
    <n v="70"/>
    <n v="0.97889999999999999"/>
    <n v="0.71160000000000001"/>
    <n v="1.7085999999999999"/>
    <n v="0.56100000000000005"/>
  </r>
  <r>
    <x v="0"/>
    <x v="2"/>
    <x v="0"/>
    <x v="0"/>
    <x v="0"/>
    <x v="0"/>
    <x v="0"/>
    <n v="73"/>
    <n v="0.86319999999999997"/>
    <n v="0.748"/>
    <n v="1.659"/>
    <n v="0.5605"/>
  </r>
  <r>
    <x v="0"/>
    <x v="1"/>
    <x v="2"/>
    <x v="0"/>
    <x v="1"/>
    <x v="0"/>
    <x v="3"/>
    <n v="150"/>
    <n v="1.0213000000000001"/>
    <n v="0.69410000000000005"/>
    <n v="1.6809000000000001"/>
    <n v="0.56000000000000005"/>
  </r>
  <r>
    <x v="0"/>
    <x v="1"/>
    <x v="1"/>
    <x v="0"/>
    <x v="0"/>
    <x v="0"/>
    <x v="4"/>
    <n v="47"/>
    <n v="0.66339999999999999"/>
    <n v="0.80600000000000005"/>
    <n v="1.8407"/>
    <n v="0.5595"/>
  </r>
  <r>
    <x v="0"/>
    <x v="2"/>
    <x v="2"/>
    <x v="0"/>
    <x v="0"/>
    <x v="0"/>
    <x v="1"/>
    <n v="146"/>
    <n v="0.72060000000000002"/>
    <n v="0.78749999999999998"/>
    <n v="1.6993"/>
    <n v="0.55900000000000005"/>
  </r>
  <r>
    <x v="0"/>
    <x v="0"/>
    <x v="1"/>
    <x v="0"/>
    <x v="0"/>
    <x v="0"/>
    <x v="3"/>
    <n v="49"/>
    <n v="0.97230000000000005"/>
    <n v="0.71260000000000001"/>
    <n v="1.7457"/>
    <n v="0.55800000000000005"/>
  </r>
  <r>
    <x v="0"/>
    <x v="0"/>
    <x v="2"/>
    <x v="0"/>
    <x v="0"/>
    <x v="0"/>
    <x v="4"/>
    <n v="139"/>
    <n v="0.92600000000000005"/>
    <n v="0.72460000000000002"/>
    <n v="1.6722999999999999"/>
    <n v="0.5575"/>
  </r>
  <r>
    <x v="0"/>
    <x v="2"/>
    <x v="2"/>
    <x v="0"/>
    <x v="0"/>
    <x v="0"/>
    <x v="0"/>
    <n v="140"/>
    <n v="0.90449999999999997"/>
    <n v="0.72709999999999997"/>
    <n v="1.6526000000000001"/>
    <n v="0.55700000000000005"/>
  </r>
  <r>
    <x v="0"/>
    <x v="0"/>
    <x v="1"/>
    <x v="0"/>
    <x v="0"/>
    <x v="0"/>
    <x v="2"/>
    <n v="49"/>
    <n v="1.1114999999999999"/>
    <n v="0.67330000000000001"/>
    <n v="1.6641999999999999"/>
    <n v="0.55600000000000005"/>
  </r>
  <r>
    <x v="0"/>
    <x v="0"/>
    <x v="0"/>
    <x v="0"/>
    <x v="0"/>
    <x v="0"/>
    <x v="4"/>
    <n v="74"/>
    <n v="0.89380000000000004"/>
    <n v="0.73280000000000001"/>
    <n v="1.6259999999999999"/>
    <n v="0.55600000000000005"/>
  </r>
  <r>
    <x v="0"/>
    <x v="1"/>
    <x v="0"/>
    <x v="0"/>
    <x v="0"/>
    <x v="0"/>
    <x v="0"/>
    <n v="72"/>
    <n v="0.76759999999999995"/>
    <n v="0.77159999999999995"/>
    <n v="1.7309000000000001"/>
    <n v="0.55549999999999999"/>
  </r>
  <r>
    <x v="0"/>
    <x v="2"/>
    <x v="1"/>
    <x v="0"/>
    <x v="1"/>
    <x v="0"/>
    <x v="4"/>
    <n v="41"/>
    <n v="1.1672"/>
    <n v="0.65410000000000001"/>
    <n v="1.7074"/>
    <n v="0.55500000000000005"/>
  </r>
  <r>
    <x v="0"/>
    <x v="0"/>
    <x v="2"/>
    <x v="0"/>
    <x v="1"/>
    <x v="1"/>
    <x v="1"/>
    <n v="145"/>
    <n v="0.36969999999999997"/>
    <n v="0.89159999999999995"/>
    <n v="2.0588000000000002"/>
    <n v="0.55449999999999999"/>
  </r>
  <r>
    <x v="0"/>
    <x v="0"/>
    <x v="2"/>
    <x v="0"/>
    <x v="1"/>
    <x v="0"/>
    <x v="1"/>
    <n v="149"/>
    <n v="1.1086"/>
    <n v="0.67349999999999999"/>
    <n v="1.6700999999999999"/>
    <n v="0.55449999999999999"/>
  </r>
  <r>
    <x v="0"/>
    <x v="1"/>
    <x v="0"/>
    <x v="0"/>
    <x v="0"/>
    <x v="0"/>
    <x v="5"/>
    <n v="72"/>
    <n v="0.92149999999999999"/>
    <n v="0.72860000000000003"/>
    <n v="1.6588000000000001"/>
    <n v="0.55449999999999999"/>
  </r>
  <r>
    <x v="0"/>
    <x v="2"/>
    <x v="2"/>
    <x v="0"/>
    <x v="1"/>
    <x v="1"/>
    <x v="3"/>
    <n v="143"/>
    <n v="0.31209999999999999"/>
    <n v="0.91049999999999998"/>
    <n v="2.0070000000000001"/>
    <n v="0.55400000000000005"/>
  </r>
  <r>
    <x v="0"/>
    <x v="0"/>
    <x v="0"/>
    <x v="0"/>
    <x v="0"/>
    <x v="0"/>
    <x v="3"/>
    <n v="74"/>
    <n v="0.94399999999999995"/>
    <n v="0.71989999999999998"/>
    <n v="1.6692"/>
    <n v="0.55400000000000005"/>
  </r>
  <r>
    <x v="0"/>
    <x v="0"/>
    <x v="2"/>
    <x v="0"/>
    <x v="0"/>
    <x v="0"/>
    <x v="1"/>
    <n v="140"/>
    <n v="0.87450000000000006"/>
    <n v="0.74339999999999995"/>
    <n v="1.6587000000000001"/>
    <n v="0.55349999999999999"/>
  </r>
  <r>
    <x v="0"/>
    <x v="1"/>
    <x v="2"/>
    <x v="0"/>
    <x v="1"/>
    <x v="0"/>
    <x v="4"/>
    <n v="151"/>
    <n v="0.94889999999999997"/>
    <n v="0.71860000000000002"/>
    <n v="1.6898"/>
    <n v="0.55349999999999999"/>
  </r>
  <r>
    <x v="0"/>
    <x v="0"/>
    <x v="1"/>
    <x v="0"/>
    <x v="0"/>
    <x v="0"/>
    <x v="0"/>
    <n v="48"/>
    <n v="1.0358000000000001"/>
    <n v="0.69750000000000001"/>
    <n v="1.7296"/>
    <n v="0.55349999999999999"/>
  </r>
  <r>
    <x v="0"/>
    <x v="2"/>
    <x v="2"/>
    <x v="0"/>
    <x v="1"/>
    <x v="0"/>
    <x v="0"/>
    <n v="149"/>
    <n v="1.2101999999999999"/>
    <n v="0.63739999999999997"/>
    <n v="1.6997"/>
    <n v="0.55249999999999999"/>
  </r>
  <r>
    <x v="0"/>
    <x v="1"/>
    <x v="2"/>
    <x v="1"/>
    <x v="0"/>
    <x v="0"/>
    <x v="0"/>
    <n v="284"/>
    <n v="0.70089999999999997"/>
    <n v="0.7923"/>
    <n v="1.7456"/>
    <n v="0.55200000000000005"/>
  </r>
  <r>
    <x v="0"/>
    <x v="2"/>
    <x v="0"/>
    <x v="0"/>
    <x v="1"/>
    <x v="0"/>
    <x v="4"/>
    <n v="70"/>
    <n v="1.0637000000000001"/>
    <n v="0.68479999999999996"/>
    <n v="1.7354000000000001"/>
    <n v="0.55149999999999999"/>
  </r>
  <r>
    <x v="0"/>
    <x v="2"/>
    <x v="2"/>
    <x v="0"/>
    <x v="0"/>
    <x v="0"/>
    <x v="3"/>
    <n v="141"/>
    <n v="0.83320000000000005"/>
    <n v="0.75060000000000004"/>
    <n v="1.7496"/>
    <n v="0.55100000000000005"/>
  </r>
  <r>
    <x v="0"/>
    <x v="2"/>
    <x v="2"/>
    <x v="0"/>
    <x v="0"/>
    <x v="0"/>
    <x v="4"/>
    <n v="145"/>
    <n v="0.75900000000000001"/>
    <n v="0.77410000000000001"/>
    <n v="1.7276"/>
    <n v="0.55100000000000005"/>
  </r>
  <r>
    <x v="0"/>
    <x v="0"/>
    <x v="0"/>
    <x v="1"/>
    <x v="0"/>
    <x v="0"/>
    <x v="1"/>
    <n v="141"/>
    <n v="0.93120000000000003"/>
    <n v="0.7248"/>
    <n v="1.7193000000000001"/>
    <n v="0.55049999999999999"/>
  </r>
  <r>
    <x v="0"/>
    <x v="2"/>
    <x v="2"/>
    <x v="0"/>
    <x v="1"/>
    <x v="0"/>
    <x v="3"/>
    <n v="150"/>
    <n v="1.1345000000000001"/>
    <n v="0.6623"/>
    <n v="1.6973"/>
    <n v="0.55049999999999999"/>
  </r>
  <r>
    <x v="0"/>
    <x v="0"/>
    <x v="0"/>
    <x v="0"/>
    <x v="0"/>
    <x v="0"/>
    <x v="2"/>
    <n v="74"/>
    <n v="1.0992999999999999"/>
    <n v="0.67569999999999997"/>
    <n v="1.7084999999999999"/>
    <n v="0.55000000000000004"/>
  </r>
  <r>
    <x v="0"/>
    <x v="1"/>
    <x v="1"/>
    <x v="0"/>
    <x v="0"/>
    <x v="0"/>
    <x v="2"/>
    <n v="47"/>
    <n v="0.8589"/>
    <n v="0.753"/>
    <n v="1.7806999999999999"/>
    <n v="0.54949999999999999"/>
  </r>
  <r>
    <x v="0"/>
    <x v="2"/>
    <x v="2"/>
    <x v="0"/>
    <x v="1"/>
    <x v="0"/>
    <x v="1"/>
    <n v="150"/>
    <n v="1.0142"/>
    <n v="0.69699999999999995"/>
    <n v="1.7495000000000001"/>
    <n v="0.54949999999999999"/>
  </r>
  <r>
    <x v="0"/>
    <x v="1"/>
    <x v="2"/>
    <x v="0"/>
    <x v="0"/>
    <x v="0"/>
    <x v="4"/>
    <n v="141"/>
    <n v="0.71250000000000002"/>
    <n v="0.79059999999999997"/>
    <n v="1.7587999999999999"/>
    <n v="0.54949999999999999"/>
  </r>
  <r>
    <x v="0"/>
    <x v="0"/>
    <x v="2"/>
    <x v="1"/>
    <x v="0"/>
    <x v="0"/>
    <x v="4"/>
    <n v="285"/>
    <n v="0.93169999999999997"/>
    <n v="0.72250000000000003"/>
    <n v="1.7253000000000001"/>
    <n v="0.54949999999999999"/>
  </r>
  <r>
    <x v="0"/>
    <x v="0"/>
    <x v="0"/>
    <x v="0"/>
    <x v="0"/>
    <x v="0"/>
    <x v="1"/>
    <n v="74"/>
    <n v="0.84350000000000003"/>
    <n v="0.75039999999999996"/>
    <n v="1.6895"/>
    <n v="0.54900000000000004"/>
  </r>
  <r>
    <x v="0"/>
    <x v="1"/>
    <x v="1"/>
    <x v="0"/>
    <x v="1"/>
    <x v="0"/>
    <x v="4"/>
    <n v="41"/>
    <n v="1.0101"/>
    <n v="0.70960000000000001"/>
    <n v="1.7683"/>
    <n v="0.54800000000000004"/>
  </r>
  <r>
    <x v="0"/>
    <x v="1"/>
    <x v="0"/>
    <x v="0"/>
    <x v="0"/>
    <x v="0"/>
    <x v="4"/>
    <n v="81"/>
    <n v="0.63580000000000003"/>
    <n v="0.81640000000000001"/>
    <n v="1.8126"/>
    <n v="0.54800000000000004"/>
  </r>
  <r>
    <x v="0"/>
    <x v="2"/>
    <x v="1"/>
    <x v="0"/>
    <x v="0"/>
    <x v="0"/>
    <x v="2"/>
    <n v="41"/>
    <n v="0.97819999999999996"/>
    <n v="0.71650000000000003"/>
    <n v="1.7496"/>
    <n v="0.54800000000000004"/>
  </r>
  <r>
    <x v="0"/>
    <x v="0"/>
    <x v="2"/>
    <x v="0"/>
    <x v="0"/>
    <x v="1"/>
    <x v="0"/>
    <n v="167"/>
    <n v="0.4446"/>
    <n v="0.87139999999999995"/>
    <n v="1.9645999999999999"/>
    <n v="0.54749999999999999"/>
  </r>
  <r>
    <x v="0"/>
    <x v="1"/>
    <x v="2"/>
    <x v="1"/>
    <x v="0"/>
    <x v="0"/>
    <x v="5"/>
    <n v="282"/>
    <n v="0.84950000000000003"/>
    <n v="0.74399999999999999"/>
    <n v="1.663"/>
    <n v="0.54749999999999999"/>
  </r>
  <r>
    <x v="0"/>
    <x v="2"/>
    <x v="0"/>
    <x v="0"/>
    <x v="1"/>
    <x v="0"/>
    <x v="3"/>
    <n v="70"/>
    <n v="1.1355"/>
    <n v="0.66659999999999997"/>
    <n v="1.6813"/>
    <n v="0.54749999999999999"/>
  </r>
  <r>
    <x v="0"/>
    <x v="2"/>
    <x v="2"/>
    <x v="0"/>
    <x v="1"/>
    <x v="1"/>
    <x v="0"/>
    <n v="159"/>
    <n v="0.34329999999999999"/>
    <n v="0.90010000000000001"/>
    <n v="2.0301"/>
    <n v="0.54700000000000004"/>
  </r>
  <r>
    <x v="0"/>
    <x v="1"/>
    <x v="1"/>
    <x v="0"/>
    <x v="1"/>
    <x v="0"/>
    <x v="1"/>
    <n v="41"/>
    <n v="0.9345"/>
    <n v="0.72770000000000001"/>
    <n v="1.7784"/>
    <n v="0.54700000000000004"/>
  </r>
  <r>
    <x v="0"/>
    <x v="0"/>
    <x v="1"/>
    <x v="0"/>
    <x v="0"/>
    <x v="0"/>
    <x v="4"/>
    <n v="49"/>
    <n v="0.94140000000000001"/>
    <n v="0.7208"/>
    <n v="1.7186999999999999"/>
    <n v="0.54700000000000004"/>
  </r>
  <r>
    <x v="0"/>
    <x v="2"/>
    <x v="0"/>
    <x v="1"/>
    <x v="1"/>
    <x v="0"/>
    <x v="4"/>
    <n v="142"/>
    <n v="0.98580000000000001"/>
    <n v="0.71"/>
    <n v="1.7369000000000001"/>
    <n v="0.54649999999999999"/>
  </r>
  <r>
    <x v="0"/>
    <x v="2"/>
    <x v="0"/>
    <x v="0"/>
    <x v="0"/>
    <x v="0"/>
    <x v="3"/>
    <n v="73"/>
    <n v="0.80010000000000003"/>
    <n v="0.76739999999999997"/>
    <n v="1.6688000000000001"/>
    <n v="0.54649999999999999"/>
  </r>
  <r>
    <x v="0"/>
    <x v="0"/>
    <x v="0"/>
    <x v="1"/>
    <x v="0"/>
    <x v="0"/>
    <x v="4"/>
    <n v="141"/>
    <n v="0.95"/>
    <n v="0.71489999999999998"/>
    <n v="1.7553000000000001"/>
    <n v="0.54649999999999999"/>
  </r>
  <r>
    <x v="0"/>
    <x v="0"/>
    <x v="0"/>
    <x v="0"/>
    <x v="1"/>
    <x v="0"/>
    <x v="3"/>
    <n v="76"/>
    <n v="1.2531000000000001"/>
    <n v="0.62260000000000004"/>
    <n v="1.7078"/>
    <n v="0.54649999999999999"/>
  </r>
  <r>
    <x v="0"/>
    <x v="0"/>
    <x v="2"/>
    <x v="0"/>
    <x v="1"/>
    <x v="1"/>
    <x v="0"/>
    <n v="170"/>
    <n v="0.50600000000000001"/>
    <n v="0.85160000000000002"/>
    <n v="1.8237000000000001"/>
    <n v="0.54600000000000004"/>
  </r>
  <r>
    <x v="0"/>
    <x v="1"/>
    <x v="2"/>
    <x v="1"/>
    <x v="1"/>
    <x v="0"/>
    <x v="2"/>
    <n v="290"/>
    <n v="1.0274000000000001"/>
    <n v="0.69740000000000002"/>
    <n v="1.7354000000000001"/>
    <n v="0.54600000000000004"/>
  </r>
  <r>
    <x v="0"/>
    <x v="2"/>
    <x v="1"/>
    <x v="0"/>
    <x v="1"/>
    <x v="0"/>
    <x v="3"/>
    <n v="41"/>
    <n v="1.232"/>
    <n v="0.63049999999999995"/>
    <n v="1.7787999999999999"/>
    <n v="0.54600000000000004"/>
  </r>
  <r>
    <x v="0"/>
    <x v="2"/>
    <x v="0"/>
    <x v="1"/>
    <x v="0"/>
    <x v="0"/>
    <x v="5"/>
    <n v="141"/>
    <n v="0.93899999999999995"/>
    <n v="0.72119999999999995"/>
    <n v="1.71"/>
    <n v="0.54600000000000004"/>
  </r>
  <r>
    <x v="0"/>
    <x v="2"/>
    <x v="0"/>
    <x v="0"/>
    <x v="0"/>
    <x v="0"/>
    <x v="4"/>
    <n v="74"/>
    <n v="0.7248"/>
    <n v="0.78690000000000004"/>
    <n v="1.6897"/>
    <n v="0.54600000000000004"/>
  </r>
  <r>
    <x v="0"/>
    <x v="1"/>
    <x v="2"/>
    <x v="0"/>
    <x v="1"/>
    <x v="0"/>
    <x v="0"/>
    <n v="149"/>
    <n v="1.0915999999999999"/>
    <n v="0.67449999999999999"/>
    <n v="1.6832"/>
    <n v="0.54500000000000004"/>
  </r>
  <r>
    <x v="0"/>
    <x v="2"/>
    <x v="1"/>
    <x v="1"/>
    <x v="1"/>
    <x v="0"/>
    <x v="4"/>
    <n v="72"/>
    <n v="1.0819000000000001"/>
    <n v="0.68110000000000004"/>
    <n v="1.7682"/>
    <n v="0.54500000000000004"/>
  </r>
  <r>
    <x v="0"/>
    <x v="0"/>
    <x v="2"/>
    <x v="1"/>
    <x v="0"/>
    <x v="1"/>
    <x v="3"/>
    <n v="279"/>
    <n v="0.48320000000000002"/>
    <n v="0.85740000000000005"/>
    <n v="1.9979"/>
    <n v="0.54449999999999998"/>
  </r>
  <r>
    <x v="0"/>
    <x v="0"/>
    <x v="0"/>
    <x v="0"/>
    <x v="1"/>
    <x v="1"/>
    <x v="4"/>
    <n v="76"/>
    <n v="0.41160000000000002"/>
    <n v="0.87960000000000005"/>
    <n v="2.0587"/>
    <n v="0.54449999999999998"/>
  </r>
  <r>
    <x v="0"/>
    <x v="2"/>
    <x v="1"/>
    <x v="0"/>
    <x v="0"/>
    <x v="0"/>
    <x v="1"/>
    <n v="41"/>
    <n v="0.67530000000000001"/>
    <n v="0.80820000000000003"/>
    <n v="1.8427"/>
    <n v="0.54449999999999998"/>
  </r>
  <r>
    <x v="0"/>
    <x v="1"/>
    <x v="0"/>
    <x v="0"/>
    <x v="1"/>
    <x v="0"/>
    <x v="4"/>
    <n v="73"/>
    <n v="0.90580000000000005"/>
    <n v="0.74009999999999998"/>
    <n v="1.7574000000000001"/>
    <n v="0.54400000000000004"/>
  </r>
  <r>
    <x v="0"/>
    <x v="1"/>
    <x v="2"/>
    <x v="0"/>
    <x v="1"/>
    <x v="0"/>
    <x v="2"/>
    <n v="149"/>
    <n v="1.1805000000000001"/>
    <n v="0.64790000000000003"/>
    <n v="1.7206999999999999"/>
    <n v="0.54400000000000004"/>
  </r>
  <r>
    <x v="0"/>
    <x v="2"/>
    <x v="2"/>
    <x v="0"/>
    <x v="1"/>
    <x v="0"/>
    <x v="4"/>
    <n v="154"/>
    <n v="1.0762"/>
    <n v="0.68359999999999999"/>
    <n v="1.6819"/>
    <n v="0.54400000000000004"/>
  </r>
  <r>
    <x v="0"/>
    <x v="0"/>
    <x v="1"/>
    <x v="1"/>
    <x v="0"/>
    <x v="0"/>
    <x v="4"/>
    <n v="74"/>
    <n v="0.9768"/>
    <n v="0.70920000000000005"/>
    <n v="1.7778"/>
    <n v="0.54349999999999998"/>
  </r>
  <r>
    <x v="0"/>
    <x v="1"/>
    <x v="2"/>
    <x v="0"/>
    <x v="1"/>
    <x v="1"/>
    <x v="2"/>
    <n v="165"/>
    <n v="0.3553"/>
    <n v="0.89810000000000001"/>
    <n v="2.0733000000000001"/>
    <n v="0.54300000000000004"/>
  </r>
  <r>
    <x v="0"/>
    <x v="0"/>
    <x v="1"/>
    <x v="0"/>
    <x v="0"/>
    <x v="1"/>
    <x v="0"/>
    <n v="50"/>
    <n v="0.4108"/>
    <n v="0.88560000000000005"/>
    <n v="2.0758000000000001"/>
    <n v="0.54249999999999998"/>
  </r>
  <r>
    <x v="0"/>
    <x v="1"/>
    <x v="2"/>
    <x v="0"/>
    <x v="1"/>
    <x v="0"/>
    <x v="1"/>
    <n v="150"/>
    <n v="0.89349999999999996"/>
    <n v="0.73709999999999998"/>
    <n v="1.7537"/>
    <n v="0.54249999999999998"/>
  </r>
  <r>
    <x v="0"/>
    <x v="2"/>
    <x v="2"/>
    <x v="1"/>
    <x v="1"/>
    <x v="0"/>
    <x v="1"/>
    <n v="312"/>
    <n v="0.89370000000000005"/>
    <n v="0.73480000000000001"/>
    <n v="1.7844"/>
    <n v="0.54249999999999998"/>
  </r>
  <r>
    <x v="0"/>
    <x v="0"/>
    <x v="2"/>
    <x v="0"/>
    <x v="0"/>
    <x v="0"/>
    <x v="5"/>
    <n v="141"/>
    <n v="1.2199"/>
    <n v="0.64100000000000001"/>
    <n v="1.6886000000000001"/>
    <n v="0.54249999999999998"/>
  </r>
  <r>
    <x v="0"/>
    <x v="2"/>
    <x v="2"/>
    <x v="0"/>
    <x v="0"/>
    <x v="1"/>
    <x v="0"/>
    <n v="141"/>
    <n v="0.29499999999999998"/>
    <n v="0.91659999999999997"/>
    <n v="2.169"/>
    <n v="0.54200000000000004"/>
  </r>
  <r>
    <x v="0"/>
    <x v="2"/>
    <x v="1"/>
    <x v="0"/>
    <x v="0"/>
    <x v="0"/>
    <x v="3"/>
    <n v="41"/>
    <n v="0.82010000000000005"/>
    <n v="0.76390000000000002"/>
    <n v="1.7557"/>
    <n v="0.54200000000000004"/>
  </r>
  <r>
    <x v="0"/>
    <x v="2"/>
    <x v="0"/>
    <x v="1"/>
    <x v="1"/>
    <x v="0"/>
    <x v="1"/>
    <n v="142"/>
    <n v="0.94310000000000005"/>
    <n v="0.71830000000000005"/>
    <n v="1.7458"/>
    <n v="0.54200000000000004"/>
  </r>
  <r>
    <x v="0"/>
    <x v="2"/>
    <x v="0"/>
    <x v="1"/>
    <x v="0"/>
    <x v="0"/>
    <x v="2"/>
    <n v="142"/>
    <n v="0.86350000000000005"/>
    <n v="0.73799999999999999"/>
    <n v="1.7867999999999999"/>
    <n v="0.54200000000000004"/>
  </r>
  <r>
    <x v="0"/>
    <x v="2"/>
    <x v="0"/>
    <x v="0"/>
    <x v="0"/>
    <x v="0"/>
    <x v="1"/>
    <n v="73"/>
    <n v="0.67869999999999997"/>
    <n v="0.7974"/>
    <n v="1.7412000000000001"/>
    <n v="0.54149999999999998"/>
  </r>
  <r>
    <x v="0"/>
    <x v="2"/>
    <x v="0"/>
    <x v="1"/>
    <x v="1"/>
    <x v="0"/>
    <x v="3"/>
    <n v="141"/>
    <n v="1.0466"/>
    <n v="0.6925"/>
    <n v="1.7482"/>
    <n v="0.54149999999999998"/>
  </r>
  <r>
    <x v="0"/>
    <x v="2"/>
    <x v="2"/>
    <x v="0"/>
    <x v="0"/>
    <x v="0"/>
    <x v="2"/>
    <n v="143"/>
    <n v="0.97889999999999999"/>
    <n v="0.71160000000000001"/>
    <n v="1.7014"/>
    <n v="0.54149999999999998"/>
  </r>
  <r>
    <x v="0"/>
    <x v="0"/>
    <x v="0"/>
    <x v="0"/>
    <x v="1"/>
    <x v="0"/>
    <x v="4"/>
    <n v="76"/>
    <n v="1.1873"/>
    <n v="0.64539999999999997"/>
    <n v="1.6889000000000001"/>
    <n v="0.54149999999999998"/>
  </r>
  <r>
    <x v="0"/>
    <x v="0"/>
    <x v="0"/>
    <x v="0"/>
    <x v="1"/>
    <x v="1"/>
    <x v="3"/>
    <n v="76"/>
    <n v="0.44400000000000001"/>
    <n v="0.874"/>
    <n v="2.0215999999999998"/>
    <n v="0.54100000000000004"/>
  </r>
  <r>
    <x v="0"/>
    <x v="2"/>
    <x v="0"/>
    <x v="1"/>
    <x v="0"/>
    <x v="0"/>
    <x v="3"/>
    <n v="141"/>
    <n v="0.75119999999999998"/>
    <n v="0.78159999999999996"/>
    <n v="1.8272999999999999"/>
    <n v="0.54100000000000004"/>
  </r>
  <r>
    <x v="0"/>
    <x v="0"/>
    <x v="2"/>
    <x v="0"/>
    <x v="1"/>
    <x v="0"/>
    <x v="4"/>
    <n v="173"/>
    <n v="1.1756"/>
    <n v="0.65"/>
    <n v="1.7112000000000001"/>
    <n v="0.54100000000000004"/>
  </r>
  <r>
    <x v="0"/>
    <x v="2"/>
    <x v="0"/>
    <x v="0"/>
    <x v="0"/>
    <x v="1"/>
    <x v="3"/>
    <n v="74"/>
    <n v="0.26869999999999999"/>
    <n v="0.92330000000000001"/>
    <n v="2.2252999999999998"/>
    <n v="0.54049999999999998"/>
  </r>
  <r>
    <x v="0"/>
    <x v="0"/>
    <x v="1"/>
    <x v="0"/>
    <x v="1"/>
    <x v="0"/>
    <x v="1"/>
    <n v="41"/>
    <n v="1.2191000000000001"/>
    <n v="0.63749999999999996"/>
    <n v="1.7262"/>
    <n v="0.54049999999999998"/>
  </r>
  <r>
    <x v="0"/>
    <x v="0"/>
    <x v="2"/>
    <x v="0"/>
    <x v="0"/>
    <x v="1"/>
    <x v="1"/>
    <n v="142"/>
    <n v="0.30719999999999997"/>
    <n v="0.91049999999999998"/>
    <n v="2.0409999999999999"/>
    <n v="0.54"/>
  </r>
  <r>
    <x v="0"/>
    <x v="2"/>
    <x v="2"/>
    <x v="1"/>
    <x v="0"/>
    <x v="0"/>
    <x v="4"/>
    <n v="287"/>
    <n v="0.7601"/>
    <n v="0.77380000000000004"/>
    <n v="1.8070999999999999"/>
    <n v="0.54"/>
  </r>
  <r>
    <x v="0"/>
    <x v="0"/>
    <x v="1"/>
    <x v="0"/>
    <x v="0"/>
    <x v="1"/>
    <x v="3"/>
    <n v="51"/>
    <n v="0.36099999999999999"/>
    <n v="0.89739999999999998"/>
    <n v="2.1248"/>
    <n v="0.53949999999999998"/>
  </r>
  <r>
    <x v="0"/>
    <x v="2"/>
    <x v="2"/>
    <x v="1"/>
    <x v="0"/>
    <x v="0"/>
    <x v="3"/>
    <n v="286"/>
    <n v="0.8417"/>
    <n v="0.74209999999999998"/>
    <n v="1.7591000000000001"/>
    <n v="0.53949999999999998"/>
  </r>
  <r>
    <x v="0"/>
    <x v="0"/>
    <x v="0"/>
    <x v="1"/>
    <x v="0"/>
    <x v="0"/>
    <x v="2"/>
    <n v="141"/>
    <n v="1.1132"/>
    <n v="0.6663"/>
    <n v="1.6788000000000001"/>
    <n v="0.53949999999999998"/>
  </r>
  <r>
    <x v="0"/>
    <x v="0"/>
    <x v="2"/>
    <x v="0"/>
    <x v="0"/>
    <x v="0"/>
    <x v="3"/>
    <n v="139"/>
    <n v="1.0162"/>
    <n v="0.70199999999999996"/>
    <n v="1.7031000000000001"/>
    <n v="0.53949999999999998"/>
  </r>
  <r>
    <x v="0"/>
    <x v="0"/>
    <x v="2"/>
    <x v="0"/>
    <x v="1"/>
    <x v="0"/>
    <x v="2"/>
    <n v="174"/>
    <n v="1.3842000000000001"/>
    <n v="0.58340000000000003"/>
    <n v="1.7192000000000001"/>
    <n v="0.53949999999999998"/>
  </r>
  <r>
    <x v="0"/>
    <x v="0"/>
    <x v="0"/>
    <x v="0"/>
    <x v="1"/>
    <x v="1"/>
    <x v="1"/>
    <n v="76"/>
    <n v="0.38040000000000002"/>
    <n v="0.88959999999999995"/>
    <n v="2.08"/>
    <n v="0.53900000000000003"/>
  </r>
  <r>
    <x v="0"/>
    <x v="1"/>
    <x v="1"/>
    <x v="0"/>
    <x v="1"/>
    <x v="0"/>
    <x v="0"/>
    <n v="42"/>
    <n v="1.1747000000000001"/>
    <n v="0.66239999999999999"/>
    <n v="1.7428999999999999"/>
    <n v="0.53900000000000003"/>
  </r>
  <r>
    <x v="0"/>
    <x v="2"/>
    <x v="1"/>
    <x v="1"/>
    <x v="0"/>
    <x v="0"/>
    <x v="4"/>
    <n v="73"/>
    <n v="0.73740000000000006"/>
    <n v="0.78349999999999997"/>
    <n v="1.8317000000000001"/>
    <n v="0.53900000000000003"/>
  </r>
  <r>
    <x v="0"/>
    <x v="0"/>
    <x v="2"/>
    <x v="1"/>
    <x v="0"/>
    <x v="0"/>
    <x v="1"/>
    <n v="286"/>
    <n v="0.90659999999999996"/>
    <n v="0.72940000000000005"/>
    <n v="1.7818000000000001"/>
    <n v="0.53900000000000003"/>
  </r>
  <r>
    <x v="0"/>
    <x v="2"/>
    <x v="0"/>
    <x v="0"/>
    <x v="1"/>
    <x v="0"/>
    <x v="0"/>
    <n v="70"/>
    <n v="1.2178"/>
    <n v="0.63819999999999999"/>
    <n v="1.7279"/>
    <n v="0.53900000000000003"/>
  </r>
  <r>
    <x v="0"/>
    <x v="0"/>
    <x v="2"/>
    <x v="0"/>
    <x v="0"/>
    <x v="0"/>
    <x v="0"/>
    <n v="139"/>
    <n v="1.0711999999999999"/>
    <n v="0.67810000000000004"/>
    <n v="1.6083000000000001"/>
    <n v="0.53900000000000003"/>
  </r>
  <r>
    <x v="0"/>
    <x v="2"/>
    <x v="1"/>
    <x v="1"/>
    <x v="0"/>
    <x v="0"/>
    <x v="0"/>
    <n v="72"/>
    <n v="0.83750000000000002"/>
    <n v="0.75590000000000002"/>
    <n v="1.7928999999999999"/>
    <n v="0.53849999999999998"/>
  </r>
  <r>
    <x v="0"/>
    <x v="2"/>
    <x v="2"/>
    <x v="1"/>
    <x v="1"/>
    <x v="0"/>
    <x v="4"/>
    <n v="312"/>
    <n v="0.93740000000000001"/>
    <n v="0.72089999999999999"/>
    <n v="1.7787999999999999"/>
    <n v="0.53849999999999998"/>
  </r>
  <r>
    <x v="0"/>
    <x v="2"/>
    <x v="2"/>
    <x v="0"/>
    <x v="1"/>
    <x v="1"/>
    <x v="5"/>
    <n v="147"/>
    <n v="0.46150000000000002"/>
    <n v="0.86699999999999999"/>
    <n v="1.982"/>
    <n v="0.53800000000000003"/>
  </r>
  <r>
    <x v="0"/>
    <x v="0"/>
    <x v="2"/>
    <x v="1"/>
    <x v="1"/>
    <x v="1"/>
    <x v="1"/>
    <n v="295"/>
    <n v="0.48830000000000001"/>
    <n v="0.85680000000000001"/>
    <n v="1.9578"/>
    <n v="0.53800000000000003"/>
  </r>
  <r>
    <x v="0"/>
    <x v="1"/>
    <x v="2"/>
    <x v="0"/>
    <x v="0"/>
    <x v="0"/>
    <x v="3"/>
    <n v="142"/>
    <n v="0.76400000000000001"/>
    <n v="0.77210000000000001"/>
    <n v="1.7421"/>
    <n v="0.53800000000000003"/>
  </r>
  <r>
    <x v="0"/>
    <x v="2"/>
    <x v="1"/>
    <x v="0"/>
    <x v="1"/>
    <x v="0"/>
    <x v="0"/>
    <n v="42"/>
    <n v="1.3197000000000001"/>
    <n v="0.60550000000000004"/>
    <n v="1.7235"/>
    <n v="0.53800000000000003"/>
  </r>
  <r>
    <x v="0"/>
    <x v="2"/>
    <x v="1"/>
    <x v="1"/>
    <x v="0"/>
    <x v="0"/>
    <x v="1"/>
    <n v="73"/>
    <n v="0.69320000000000004"/>
    <n v="0.79930000000000001"/>
    <n v="1.8846000000000001"/>
    <n v="0.53800000000000003"/>
  </r>
  <r>
    <x v="0"/>
    <x v="0"/>
    <x v="0"/>
    <x v="1"/>
    <x v="1"/>
    <x v="0"/>
    <x v="1"/>
    <n v="141"/>
    <n v="1.1271"/>
    <n v="0.6673"/>
    <n v="1.7294"/>
    <n v="0.53800000000000003"/>
  </r>
  <r>
    <x v="0"/>
    <x v="1"/>
    <x v="1"/>
    <x v="0"/>
    <x v="0"/>
    <x v="1"/>
    <x v="3"/>
    <n v="49"/>
    <n v="0.2379"/>
    <n v="0.93659999999999999"/>
    <n v="2.3650000000000002"/>
    <n v="0.53749999999999998"/>
  </r>
  <r>
    <x v="0"/>
    <x v="2"/>
    <x v="2"/>
    <x v="0"/>
    <x v="1"/>
    <x v="1"/>
    <x v="1"/>
    <n v="143"/>
    <n v="0.25559999999999999"/>
    <n v="0.92630000000000001"/>
    <n v="2.2025000000000001"/>
    <n v="0.53749999999999998"/>
  </r>
  <r>
    <x v="0"/>
    <x v="1"/>
    <x v="1"/>
    <x v="0"/>
    <x v="0"/>
    <x v="0"/>
    <x v="1"/>
    <n v="48"/>
    <n v="0.59470000000000001"/>
    <n v="0.82709999999999995"/>
    <n v="1.9540999999999999"/>
    <n v="0.53749999999999998"/>
  </r>
  <r>
    <x v="0"/>
    <x v="0"/>
    <x v="0"/>
    <x v="1"/>
    <x v="1"/>
    <x v="0"/>
    <x v="3"/>
    <n v="141"/>
    <n v="1.2302999999999999"/>
    <n v="0.63090000000000002"/>
    <n v="1.7662"/>
    <n v="0.53749999999999998"/>
  </r>
  <r>
    <x v="0"/>
    <x v="0"/>
    <x v="2"/>
    <x v="0"/>
    <x v="1"/>
    <x v="0"/>
    <x v="0"/>
    <n v="174"/>
    <n v="1.3079000000000001"/>
    <n v="0.60460000000000003"/>
    <n v="1.7229000000000001"/>
    <n v="0.53749999999999998"/>
  </r>
  <r>
    <x v="0"/>
    <x v="1"/>
    <x v="0"/>
    <x v="0"/>
    <x v="1"/>
    <x v="1"/>
    <x v="2"/>
    <n v="92"/>
    <n v="0.35680000000000001"/>
    <n v="0.89839999999999998"/>
    <n v="2.1859000000000002"/>
    <n v="0.53700000000000003"/>
  </r>
  <r>
    <x v="0"/>
    <x v="2"/>
    <x v="1"/>
    <x v="0"/>
    <x v="0"/>
    <x v="0"/>
    <x v="0"/>
    <n v="41"/>
    <n v="0.87180000000000002"/>
    <n v="0.75260000000000005"/>
    <n v="1.7641"/>
    <n v="0.53700000000000003"/>
  </r>
  <r>
    <x v="0"/>
    <x v="2"/>
    <x v="0"/>
    <x v="1"/>
    <x v="0"/>
    <x v="0"/>
    <x v="0"/>
    <n v="141"/>
    <n v="0.79249999999999998"/>
    <n v="0.76790000000000003"/>
    <n v="1.7611000000000001"/>
    <n v="0.53700000000000003"/>
  </r>
  <r>
    <x v="0"/>
    <x v="2"/>
    <x v="2"/>
    <x v="1"/>
    <x v="1"/>
    <x v="0"/>
    <x v="2"/>
    <n v="303"/>
    <n v="1.1211"/>
    <n v="0.66510000000000002"/>
    <n v="1.7332000000000001"/>
    <n v="0.53700000000000003"/>
  </r>
  <r>
    <x v="0"/>
    <x v="0"/>
    <x v="0"/>
    <x v="0"/>
    <x v="1"/>
    <x v="0"/>
    <x v="0"/>
    <n v="75"/>
    <n v="1.3309"/>
    <n v="0.60360000000000003"/>
    <n v="1.7232000000000001"/>
    <n v="0.53700000000000003"/>
  </r>
  <r>
    <x v="0"/>
    <x v="1"/>
    <x v="1"/>
    <x v="1"/>
    <x v="1"/>
    <x v="0"/>
    <x v="2"/>
    <n v="85"/>
    <n v="1.1149"/>
    <n v="0.67589999999999995"/>
    <n v="1.7987"/>
    <n v="0.53600000000000003"/>
  </r>
  <r>
    <x v="0"/>
    <x v="0"/>
    <x v="0"/>
    <x v="0"/>
    <x v="1"/>
    <x v="1"/>
    <x v="2"/>
    <n v="76"/>
    <n v="0.55820000000000003"/>
    <n v="0.83919999999999995"/>
    <n v="1.9345000000000001"/>
    <n v="0.53600000000000003"/>
  </r>
  <r>
    <x v="0"/>
    <x v="2"/>
    <x v="0"/>
    <x v="0"/>
    <x v="1"/>
    <x v="1"/>
    <x v="0"/>
    <n v="74"/>
    <n v="0.39750000000000002"/>
    <n v="0.8881"/>
    <n v="2.177"/>
    <n v="0.53600000000000003"/>
  </r>
  <r>
    <x v="0"/>
    <x v="0"/>
    <x v="2"/>
    <x v="0"/>
    <x v="1"/>
    <x v="1"/>
    <x v="4"/>
    <n v="145"/>
    <n v="0.40160000000000001"/>
    <n v="0.88100000000000001"/>
    <n v="1.9785999999999999"/>
    <n v="0.53600000000000003"/>
  </r>
  <r>
    <x v="0"/>
    <x v="2"/>
    <x v="2"/>
    <x v="1"/>
    <x v="0"/>
    <x v="0"/>
    <x v="2"/>
    <n v="286"/>
    <n v="0.97060000000000002"/>
    <n v="0.70920000000000005"/>
    <n v="1.6913"/>
    <n v="0.53600000000000003"/>
  </r>
  <r>
    <x v="0"/>
    <x v="1"/>
    <x v="2"/>
    <x v="0"/>
    <x v="0"/>
    <x v="0"/>
    <x v="1"/>
    <n v="144"/>
    <n v="0.63929999999999998"/>
    <n v="0.81169999999999998"/>
    <n v="1.8831"/>
    <n v="0.53600000000000003"/>
  </r>
  <r>
    <x v="0"/>
    <x v="2"/>
    <x v="2"/>
    <x v="0"/>
    <x v="0"/>
    <x v="0"/>
    <x v="5"/>
    <n v="140"/>
    <n v="1.0765"/>
    <n v="0.67849999999999999"/>
    <n v="1.6840999999999999"/>
    <n v="0.53600000000000003"/>
  </r>
  <r>
    <x v="0"/>
    <x v="0"/>
    <x v="2"/>
    <x v="1"/>
    <x v="0"/>
    <x v="0"/>
    <x v="2"/>
    <n v="284"/>
    <n v="1.0914999999999999"/>
    <n v="0.68130000000000002"/>
    <n v="1.7285999999999999"/>
    <n v="0.53600000000000003"/>
  </r>
  <r>
    <x v="0"/>
    <x v="0"/>
    <x v="2"/>
    <x v="1"/>
    <x v="0"/>
    <x v="0"/>
    <x v="3"/>
    <n v="285"/>
    <n v="0.99160000000000004"/>
    <n v="0.70530000000000004"/>
    <n v="1.7495000000000001"/>
    <n v="0.53600000000000003"/>
  </r>
  <r>
    <x v="0"/>
    <x v="0"/>
    <x v="2"/>
    <x v="1"/>
    <x v="0"/>
    <x v="1"/>
    <x v="2"/>
    <n v="279"/>
    <n v="0.59489999999999998"/>
    <n v="0.82469999999999999"/>
    <n v="1.8938999999999999"/>
    <n v="0.53500000000000003"/>
  </r>
  <r>
    <x v="0"/>
    <x v="0"/>
    <x v="2"/>
    <x v="1"/>
    <x v="1"/>
    <x v="1"/>
    <x v="0"/>
    <n v="294"/>
    <n v="0.62729999999999997"/>
    <n v="0.81330000000000002"/>
    <n v="1.8723000000000001"/>
    <n v="0.53500000000000003"/>
  </r>
  <r>
    <x v="0"/>
    <x v="0"/>
    <x v="0"/>
    <x v="0"/>
    <x v="0"/>
    <x v="0"/>
    <x v="5"/>
    <n v="74"/>
    <n v="1.1755"/>
    <n v="0.65759999999999996"/>
    <n v="1.6766000000000001"/>
    <n v="0.53500000000000003"/>
  </r>
  <r>
    <x v="0"/>
    <x v="1"/>
    <x v="1"/>
    <x v="1"/>
    <x v="1"/>
    <x v="0"/>
    <x v="3"/>
    <n v="85"/>
    <n v="0.9798"/>
    <n v="0.70989999999999998"/>
    <n v="1.8879999999999999"/>
    <n v="0.53449999999999998"/>
  </r>
  <r>
    <x v="0"/>
    <x v="2"/>
    <x v="1"/>
    <x v="1"/>
    <x v="1"/>
    <x v="0"/>
    <x v="3"/>
    <n v="72"/>
    <n v="1.1347"/>
    <n v="0.66390000000000005"/>
    <n v="1.8280000000000001"/>
    <n v="0.53449999999999998"/>
  </r>
  <r>
    <x v="0"/>
    <x v="2"/>
    <x v="2"/>
    <x v="1"/>
    <x v="0"/>
    <x v="0"/>
    <x v="1"/>
    <n v="287"/>
    <n v="0.73839999999999995"/>
    <n v="0.77510000000000001"/>
    <n v="1.7124999999999999"/>
    <n v="0.53449999999999998"/>
  </r>
  <r>
    <x v="0"/>
    <x v="1"/>
    <x v="0"/>
    <x v="0"/>
    <x v="1"/>
    <x v="1"/>
    <x v="5"/>
    <n v="91"/>
    <n v="0.39950000000000002"/>
    <n v="0.8921"/>
    <n v="2.1916000000000002"/>
    <n v="0.53400000000000003"/>
  </r>
  <r>
    <x v="0"/>
    <x v="1"/>
    <x v="2"/>
    <x v="0"/>
    <x v="1"/>
    <x v="1"/>
    <x v="5"/>
    <n v="151"/>
    <n v="0.39079999999999998"/>
    <n v="0.89059999999999995"/>
    <n v="2.0423"/>
    <n v="0.53400000000000003"/>
  </r>
  <r>
    <x v="0"/>
    <x v="2"/>
    <x v="0"/>
    <x v="0"/>
    <x v="0"/>
    <x v="1"/>
    <x v="4"/>
    <n v="74"/>
    <n v="0.25059999999999999"/>
    <n v="0.93130000000000002"/>
    <n v="2.2444999999999999"/>
    <n v="0.53400000000000003"/>
  </r>
  <r>
    <x v="0"/>
    <x v="0"/>
    <x v="0"/>
    <x v="1"/>
    <x v="1"/>
    <x v="1"/>
    <x v="1"/>
    <n v="140"/>
    <n v="0.55520000000000003"/>
    <n v="0.83530000000000004"/>
    <n v="2.0377999999999998"/>
    <n v="0.53400000000000003"/>
  </r>
  <r>
    <x v="0"/>
    <x v="1"/>
    <x v="0"/>
    <x v="0"/>
    <x v="0"/>
    <x v="0"/>
    <x v="2"/>
    <n v="72"/>
    <n v="0.8347"/>
    <n v="0.75800000000000001"/>
    <n v="1.8519000000000001"/>
    <n v="0.53400000000000003"/>
  </r>
  <r>
    <x v="0"/>
    <x v="2"/>
    <x v="1"/>
    <x v="0"/>
    <x v="0"/>
    <x v="0"/>
    <x v="4"/>
    <n v="41"/>
    <n v="0.75680000000000003"/>
    <n v="0.78810000000000002"/>
    <n v="1.8107"/>
    <n v="0.53400000000000003"/>
  </r>
  <r>
    <x v="0"/>
    <x v="1"/>
    <x v="2"/>
    <x v="1"/>
    <x v="1"/>
    <x v="0"/>
    <x v="1"/>
    <n v="289"/>
    <n v="0.78380000000000005"/>
    <n v="0.76559999999999995"/>
    <n v="1.7874000000000001"/>
    <n v="0.53400000000000003"/>
  </r>
  <r>
    <x v="0"/>
    <x v="1"/>
    <x v="1"/>
    <x v="1"/>
    <x v="1"/>
    <x v="0"/>
    <x v="4"/>
    <n v="85"/>
    <n v="0.9123"/>
    <n v="0.73350000000000004"/>
    <n v="1.8221000000000001"/>
    <n v="0.53349999999999997"/>
  </r>
  <r>
    <x v="0"/>
    <x v="0"/>
    <x v="2"/>
    <x v="0"/>
    <x v="0"/>
    <x v="1"/>
    <x v="5"/>
    <n v="142"/>
    <n v="0.50839999999999996"/>
    <n v="0.84909999999999997"/>
    <n v="1.8971"/>
    <n v="0.53349999999999997"/>
  </r>
  <r>
    <x v="0"/>
    <x v="2"/>
    <x v="1"/>
    <x v="0"/>
    <x v="1"/>
    <x v="1"/>
    <x v="2"/>
    <n v="42"/>
    <n v="0.45729999999999998"/>
    <n v="0.87409999999999999"/>
    <n v="2.1555"/>
    <n v="0.53349999999999997"/>
  </r>
  <r>
    <x v="0"/>
    <x v="1"/>
    <x v="0"/>
    <x v="0"/>
    <x v="0"/>
    <x v="0"/>
    <x v="3"/>
    <n v="72"/>
    <n v="0.69140000000000001"/>
    <n v="0.79649999999999999"/>
    <n v="1.8740000000000001"/>
    <n v="0.53349999999999997"/>
  </r>
  <r>
    <x v="0"/>
    <x v="1"/>
    <x v="0"/>
    <x v="0"/>
    <x v="1"/>
    <x v="0"/>
    <x v="3"/>
    <n v="73"/>
    <n v="1.0042"/>
    <n v="0.70699999999999996"/>
    <n v="1.7771999999999999"/>
    <n v="0.53349999999999997"/>
  </r>
  <r>
    <x v="0"/>
    <x v="2"/>
    <x v="1"/>
    <x v="1"/>
    <x v="0"/>
    <x v="0"/>
    <x v="3"/>
    <n v="73"/>
    <n v="0.78610000000000002"/>
    <n v="0.76819999999999999"/>
    <n v="1.8063"/>
    <n v="0.53349999999999997"/>
  </r>
  <r>
    <x v="0"/>
    <x v="2"/>
    <x v="0"/>
    <x v="1"/>
    <x v="1"/>
    <x v="0"/>
    <x v="2"/>
    <n v="141"/>
    <n v="1.1606000000000001"/>
    <n v="0.65110000000000001"/>
    <n v="1.7228000000000001"/>
    <n v="0.53349999999999997"/>
  </r>
  <r>
    <x v="0"/>
    <x v="2"/>
    <x v="2"/>
    <x v="1"/>
    <x v="0"/>
    <x v="0"/>
    <x v="0"/>
    <n v="287"/>
    <n v="0.90610000000000002"/>
    <n v="0.72699999999999998"/>
    <n v="1.7604"/>
    <n v="0.53349999999999997"/>
  </r>
  <r>
    <x v="0"/>
    <x v="1"/>
    <x v="0"/>
    <x v="0"/>
    <x v="0"/>
    <x v="0"/>
    <x v="1"/>
    <n v="85"/>
    <n v="0.58179999999999998"/>
    <n v="0.82899999999999996"/>
    <n v="1.9096"/>
    <n v="0.53349999999999997"/>
  </r>
  <r>
    <x v="0"/>
    <x v="1"/>
    <x v="1"/>
    <x v="0"/>
    <x v="1"/>
    <x v="0"/>
    <x v="3"/>
    <n v="42"/>
    <n v="1.0543"/>
    <n v="0.69140000000000001"/>
    <n v="1.8412999999999999"/>
    <n v="0.53300000000000003"/>
  </r>
  <r>
    <x v="0"/>
    <x v="0"/>
    <x v="0"/>
    <x v="1"/>
    <x v="0"/>
    <x v="1"/>
    <x v="5"/>
    <n v="136"/>
    <n v="0.6694"/>
    <n v="0.79910000000000003"/>
    <n v="1.8823000000000001"/>
    <n v="0.53300000000000003"/>
  </r>
  <r>
    <x v="0"/>
    <x v="1"/>
    <x v="0"/>
    <x v="0"/>
    <x v="1"/>
    <x v="1"/>
    <x v="4"/>
    <n v="93"/>
    <n v="0.23300000000000001"/>
    <n v="0.93369999999999997"/>
    <n v="2.4651999999999998"/>
    <n v="0.53249999999999997"/>
  </r>
  <r>
    <x v="0"/>
    <x v="1"/>
    <x v="0"/>
    <x v="1"/>
    <x v="1"/>
    <x v="0"/>
    <x v="0"/>
    <n v="146"/>
    <n v="0.97899999999999998"/>
    <n v="0.71030000000000004"/>
    <n v="1.8098000000000001"/>
    <n v="0.53249999999999997"/>
  </r>
  <r>
    <x v="0"/>
    <x v="2"/>
    <x v="0"/>
    <x v="0"/>
    <x v="0"/>
    <x v="0"/>
    <x v="5"/>
    <n v="73"/>
    <n v="1.0303"/>
    <n v="0.69020000000000004"/>
    <n v="1.6900999999999999"/>
    <n v="0.53249999999999997"/>
  </r>
  <r>
    <x v="0"/>
    <x v="0"/>
    <x v="1"/>
    <x v="1"/>
    <x v="0"/>
    <x v="0"/>
    <x v="2"/>
    <n v="75"/>
    <n v="1.1269"/>
    <n v="0.6714"/>
    <n v="1.7665999999999999"/>
    <n v="0.53249999999999997"/>
  </r>
  <r>
    <x v="0"/>
    <x v="1"/>
    <x v="0"/>
    <x v="0"/>
    <x v="1"/>
    <x v="1"/>
    <x v="3"/>
    <n v="93"/>
    <n v="0.27379999999999999"/>
    <n v="0.92159999999999997"/>
    <n v="2.3361000000000001"/>
    <n v="0.53200000000000003"/>
  </r>
  <r>
    <x v="0"/>
    <x v="1"/>
    <x v="0"/>
    <x v="1"/>
    <x v="0"/>
    <x v="0"/>
    <x v="4"/>
    <n v="143"/>
    <n v="0.53039999999999998"/>
    <n v="0.84240000000000004"/>
    <n v="1.9830000000000001"/>
    <n v="0.53149999999999997"/>
  </r>
  <r>
    <x v="0"/>
    <x v="2"/>
    <x v="2"/>
    <x v="1"/>
    <x v="0"/>
    <x v="1"/>
    <x v="5"/>
    <n v="277"/>
    <n v="0.44319999999999998"/>
    <n v="0.87039999999999995"/>
    <n v="1.9753000000000001"/>
    <n v="0.53149999999999997"/>
  </r>
  <r>
    <x v="0"/>
    <x v="2"/>
    <x v="2"/>
    <x v="0"/>
    <x v="1"/>
    <x v="1"/>
    <x v="2"/>
    <n v="163"/>
    <n v="0.39369999999999999"/>
    <n v="0.88480000000000003"/>
    <n v="1.9545999999999999"/>
    <n v="0.53149999999999997"/>
  </r>
  <r>
    <x v="0"/>
    <x v="1"/>
    <x v="2"/>
    <x v="1"/>
    <x v="1"/>
    <x v="1"/>
    <x v="4"/>
    <n v="286"/>
    <n v="0.32450000000000001"/>
    <n v="0.90290000000000004"/>
    <n v="2.2484000000000002"/>
    <n v="0.53149999999999997"/>
  </r>
  <r>
    <x v="0"/>
    <x v="1"/>
    <x v="2"/>
    <x v="0"/>
    <x v="0"/>
    <x v="0"/>
    <x v="2"/>
    <n v="140"/>
    <n v="0.93959999999999999"/>
    <n v="0.72199999999999998"/>
    <n v="1.6862999999999999"/>
    <n v="0.53149999999999997"/>
  </r>
  <r>
    <x v="0"/>
    <x v="2"/>
    <x v="1"/>
    <x v="1"/>
    <x v="1"/>
    <x v="0"/>
    <x v="1"/>
    <n v="72"/>
    <n v="1.0307999999999999"/>
    <n v="0.70099999999999996"/>
    <n v="1.8315999999999999"/>
    <n v="0.53149999999999997"/>
  </r>
  <r>
    <x v="0"/>
    <x v="0"/>
    <x v="1"/>
    <x v="1"/>
    <x v="0"/>
    <x v="0"/>
    <x v="1"/>
    <n v="75"/>
    <n v="0.95720000000000005"/>
    <n v="0.72009999999999996"/>
    <n v="1.8089"/>
    <n v="0.53149999999999997"/>
  </r>
  <r>
    <x v="0"/>
    <x v="1"/>
    <x v="1"/>
    <x v="0"/>
    <x v="0"/>
    <x v="0"/>
    <x v="3"/>
    <n v="48"/>
    <n v="0.71419999999999995"/>
    <n v="0.79469999999999996"/>
    <n v="1.8481000000000001"/>
    <n v="0.53100000000000003"/>
  </r>
  <r>
    <x v="0"/>
    <x v="2"/>
    <x v="2"/>
    <x v="0"/>
    <x v="0"/>
    <x v="1"/>
    <x v="3"/>
    <n v="141"/>
    <n v="0.2732"/>
    <n v="0.9194"/>
    <n v="2.1680000000000001"/>
    <n v="0.53100000000000003"/>
  </r>
  <r>
    <x v="0"/>
    <x v="0"/>
    <x v="2"/>
    <x v="0"/>
    <x v="1"/>
    <x v="1"/>
    <x v="3"/>
    <n v="169"/>
    <n v="0.45850000000000002"/>
    <n v="0.86550000000000005"/>
    <n v="1.9105000000000001"/>
    <n v="0.53100000000000003"/>
  </r>
  <r>
    <x v="0"/>
    <x v="1"/>
    <x v="1"/>
    <x v="0"/>
    <x v="1"/>
    <x v="1"/>
    <x v="4"/>
    <n v="42"/>
    <n v="0.22550000000000001"/>
    <n v="0.94059999999999999"/>
    <n v="2.4098000000000002"/>
    <n v="0.53100000000000003"/>
  </r>
  <r>
    <x v="0"/>
    <x v="2"/>
    <x v="2"/>
    <x v="0"/>
    <x v="0"/>
    <x v="1"/>
    <x v="1"/>
    <n v="142"/>
    <n v="0.23250000000000001"/>
    <n v="0.93359999999999999"/>
    <n v="2.3148"/>
    <n v="0.53100000000000003"/>
  </r>
  <r>
    <x v="0"/>
    <x v="1"/>
    <x v="0"/>
    <x v="0"/>
    <x v="1"/>
    <x v="0"/>
    <x v="0"/>
    <n v="73"/>
    <n v="1.0943000000000001"/>
    <n v="0.6794"/>
    <n v="1.7677"/>
    <n v="0.53100000000000003"/>
  </r>
  <r>
    <x v="0"/>
    <x v="2"/>
    <x v="1"/>
    <x v="1"/>
    <x v="1"/>
    <x v="0"/>
    <x v="0"/>
    <n v="72"/>
    <n v="1.1865000000000001"/>
    <n v="0.64610000000000001"/>
    <n v="1.7988"/>
    <n v="0.53100000000000003"/>
  </r>
  <r>
    <x v="0"/>
    <x v="1"/>
    <x v="0"/>
    <x v="1"/>
    <x v="0"/>
    <x v="1"/>
    <x v="2"/>
    <n v="135"/>
    <n v="0.31169999999999998"/>
    <n v="0.90400000000000003"/>
    <n v="2.2176"/>
    <n v="0.53049999999999997"/>
  </r>
  <r>
    <x v="0"/>
    <x v="0"/>
    <x v="1"/>
    <x v="0"/>
    <x v="1"/>
    <x v="1"/>
    <x v="0"/>
    <n v="50"/>
    <n v="0.54659999999999997"/>
    <n v="0.8417"/>
    <n v="2.1467999999999998"/>
    <n v="0.53049999999999997"/>
  </r>
  <r>
    <x v="0"/>
    <x v="1"/>
    <x v="0"/>
    <x v="0"/>
    <x v="1"/>
    <x v="1"/>
    <x v="1"/>
    <n v="93"/>
    <n v="0.21560000000000001"/>
    <n v="0.94359999999999999"/>
    <n v="2.4910999999999999"/>
    <n v="0.53049999999999997"/>
  </r>
  <r>
    <x v="0"/>
    <x v="1"/>
    <x v="1"/>
    <x v="1"/>
    <x v="0"/>
    <x v="0"/>
    <x v="5"/>
    <n v="73"/>
    <n v="0.91200000000000003"/>
    <n v="0.73509999999999998"/>
    <n v="1.7706"/>
    <n v="0.53"/>
  </r>
  <r>
    <x v="0"/>
    <x v="1"/>
    <x v="0"/>
    <x v="0"/>
    <x v="1"/>
    <x v="1"/>
    <x v="0"/>
    <n v="93"/>
    <n v="0.3105"/>
    <n v="0.9143"/>
    <n v="2.2972000000000001"/>
    <n v="0.53"/>
  </r>
  <r>
    <x v="0"/>
    <x v="2"/>
    <x v="1"/>
    <x v="0"/>
    <x v="1"/>
    <x v="1"/>
    <x v="1"/>
    <n v="43"/>
    <n v="0.28620000000000001"/>
    <n v="0.92549999999999999"/>
    <n v="2.3481000000000001"/>
    <n v="0.53"/>
  </r>
  <r>
    <x v="0"/>
    <x v="1"/>
    <x v="0"/>
    <x v="1"/>
    <x v="0"/>
    <x v="0"/>
    <x v="1"/>
    <n v="143"/>
    <n v="0.48809999999999998"/>
    <n v="0.85350000000000004"/>
    <n v="2.0021"/>
    <n v="0.53"/>
  </r>
  <r>
    <x v="0"/>
    <x v="0"/>
    <x v="2"/>
    <x v="1"/>
    <x v="0"/>
    <x v="0"/>
    <x v="0"/>
    <n v="285"/>
    <n v="1.0571999999999999"/>
    <n v="0.68149999999999999"/>
    <n v="1.742"/>
    <n v="0.53"/>
  </r>
  <r>
    <x v="0"/>
    <x v="1"/>
    <x v="1"/>
    <x v="1"/>
    <x v="1"/>
    <x v="0"/>
    <x v="0"/>
    <n v="85"/>
    <n v="1.0414000000000001"/>
    <n v="0.69289999999999996"/>
    <n v="1.8391999999999999"/>
    <n v="0.52949999999999997"/>
  </r>
  <r>
    <x v="0"/>
    <x v="1"/>
    <x v="2"/>
    <x v="0"/>
    <x v="1"/>
    <x v="1"/>
    <x v="0"/>
    <n v="165"/>
    <n v="0.29320000000000002"/>
    <n v="0.91610000000000003"/>
    <n v="2.2023000000000001"/>
    <n v="0.52949999999999997"/>
  </r>
  <r>
    <x v="0"/>
    <x v="0"/>
    <x v="1"/>
    <x v="0"/>
    <x v="1"/>
    <x v="1"/>
    <x v="3"/>
    <n v="51"/>
    <n v="0.47049999999999997"/>
    <n v="0.86760000000000004"/>
    <n v="2.1943000000000001"/>
    <n v="0.52949999999999997"/>
  </r>
  <r>
    <x v="0"/>
    <x v="2"/>
    <x v="2"/>
    <x v="1"/>
    <x v="0"/>
    <x v="1"/>
    <x v="4"/>
    <n v="276"/>
    <n v="0.29299999999999998"/>
    <n v="0.91500000000000004"/>
    <n v="2.1793999999999998"/>
    <n v="0.52949999999999997"/>
  </r>
  <r>
    <x v="0"/>
    <x v="1"/>
    <x v="2"/>
    <x v="0"/>
    <x v="0"/>
    <x v="0"/>
    <x v="0"/>
    <n v="142"/>
    <n v="0.87250000000000005"/>
    <n v="0.74590000000000001"/>
    <n v="1.7426999999999999"/>
    <n v="0.52949999999999997"/>
  </r>
  <r>
    <x v="0"/>
    <x v="2"/>
    <x v="1"/>
    <x v="1"/>
    <x v="0"/>
    <x v="0"/>
    <x v="5"/>
    <n v="73"/>
    <n v="0.96260000000000001"/>
    <n v="0.71579999999999999"/>
    <n v="1.7635000000000001"/>
    <n v="0.52949999999999997"/>
  </r>
  <r>
    <x v="0"/>
    <x v="2"/>
    <x v="2"/>
    <x v="1"/>
    <x v="1"/>
    <x v="0"/>
    <x v="5"/>
    <n v="299"/>
    <n v="1.1664000000000001"/>
    <n v="0.6583"/>
    <n v="1.8596999999999999"/>
    <n v="0.52949999999999997"/>
  </r>
  <r>
    <x v="0"/>
    <x v="1"/>
    <x v="0"/>
    <x v="1"/>
    <x v="0"/>
    <x v="0"/>
    <x v="2"/>
    <n v="143"/>
    <n v="0.69189999999999996"/>
    <n v="0.79669999999999996"/>
    <n v="1.87"/>
    <n v="0.52900000000000003"/>
  </r>
  <r>
    <x v="0"/>
    <x v="0"/>
    <x v="2"/>
    <x v="0"/>
    <x v="1"/>
    <x v="1"/>
    <x v="2"/>
    <n v="171"/>
    <n v="0.57240000000000002"/>
    <n v="0.83289999999999997"/>
    <n v="1.9710000000000001"/>
    <n v="0.52900000000000003"/>
  </r>
  <r>
    <x v="0"/>
    <x v="1"/>
    <x v="0"/>
    <x v="1"/>
    <x v="1"/>
    <x v="1"/>
    <x v="3"/>
    <n v="147"/>
    <n v="0.33689999999999998"/>
    <n v="0.90300000000000002"/>
    <n v="2.1103999999999998"/>
    <n v="0.52900000000000003"/>
  </r>
  <r>
    <x v="0"/>
    <x v="0"/>
    <x v="0"/>
    <x v="1"/>
    <x v="1"/>
    <x v="0"/>
    <x v="4"/>
    <n v="141"/>
    <n v="1.1859"/>
    <n v="0.6401"/>
    <n v="1.7977000000000001"/>
    <n v="0.52900000000000003"/>
  </r>
  <r>
    <x v="0"/>
    <x v="0"/>
    <x v="1"/>
    <x v="0"/>
    <x v="0"/>
    <x v="1"/>
    <x v="5"/>
    <n v="51"/>
    <n v="0.51139999999999997"/>
    <n v="0.85529999999999995"/>
    <n v="2.0245000000000002"/>
    <n v="0.52849999999999997"/>
  </r>
  <r>
    <x v="0"/>
    <x v="1"/>
    <x v="2"/>
    <x v="1"/>
    <x v="1"/>
    <x v="1"/>
    <x v="2"/>
    <n v="288"/>
    <n v="0.44400000000000001"/>
    <n v="0.87090000000000001"/>
    <n v="2.0133000000000001"/>
    <n v="0.52849999999999997"/>
  </r>
  <r>
    <x v="0"/>
    <x v="0"/>
    <x v="0"/>
    <x v="1"/>
    <x v="0"/>
    <x v="1"/>
    <x v="3"/>
    <n v="137"/>
    <n v="0.49159999999999998"/>
    <n v="0.85429999999999995"/>
    <n v="1.9957"/>
    <n v="0.52849999999999997"/>
  </r>
  <r>
    <x v="0"/>
    <x v="2"/>
    <x v="0"/>
    <x v="0"/>
    <x v="1"/>
    <x v="1"/>
    <x v="4"/>
    <n v="72"/>
    <n v="0.31869999999999998"/>
    <n v="0.9103"/>
    <n v="2.2465000000000002"/>
    <n v="0.52849999999999997"/>
  </r>
  <r>
    <x v="0"/>
    <x v="1"/>
    <x v="2"/>
    <x v="1"/>
    <x v="1"/>
    <x v="0"/>
    <x v="4"/>
    <n v="290"/>
    <n v="0.83520000000000005"/>
    <n v="0.74990000000000001"/>
    <n v="1.7523"/>
    <n v="0.52849999999999997"/>
  </r>
  <r>
    <x v="0"/>
    <x v="2"/>
    <x v="0"/>
    <x v="1"/>
    <x v="1"/>
    <x v="0"/>
    <x v="5"/>
    <n v="142"/>
    <n v="1.2405999999999999"/>
    <n v="0.63219999999999998"/>
    <n v="1.8104"/>
    <n v="0.52849999999999997"/>
  </r>
  <r>
    <x v="0"/>
    <x v="0"/>
    <x v="2"/>
    <x v="1"/>
    <x v="0"/>
    <x v="0"/>
    <x v="5"/>
    <n v="285"/>
    <n v="1.1585000000000001"/>
    <n v="0.65339999999999998"/>
    <n v="1.7465999999999999"/>
    <n v="0.52849999999999997"/>
  </r>
  <r>
    <x v="0"/>
    <x v="1"/>
    <x v="2"/>
    <x v="0"/>
    <x v="0"/>
    <x v="1"/>
    <x v="2"/>
    <n v="137"/>
    <n v="0.2515"/>
    <n v="0.92659999999999998"/>
    <n v="2.3170999999999999"/>
    <n v="0.52800000000000002"/>
  </r>
  <r>
    <x v="0"/>
    <x v="0"/>
    <x v="2"/>
    <x v="0"/>
    <x v="0"/>
    <x v="1"/>
    <x v="4"/>
    <n v="142"/>
    <n v="0.31309999999999999"/>
    <n v="0.9103"/>
    <n v="2.0794999999999999"/>
    <n v="0.52800000000000002"/>
  </r>
  <r>
    <x v="0"/>
    <x v="2"/>
    <x v="2"/>
    <x v="1"/>
    <x v="1"/>
    <x v="0"/>
    <x v="0"/>
    <n v="300"/>
    <n v="1.0549999999999999"/>
    <n v="0.68589999999999995"/>
    <n v="1.7757000000000001"/>
    <n v="0.52800000000000002"/>
  </r>
  <r>
    <x v="0"/>
    <x v="0"/>
    <x v="0"/>
    <x v="1"/>
    <x v="0"/>
    <x v="0"/>
    <x v="0"/>
    <n v="142"/>
    <n v="1.0499000000000001"/>
    <n v="0.68730000000000002"/>
    <n v="1.7334000000000001"/>
    <n v="0.52800000000000002"/>
  </r>
  <r>
    <x v="0"/>
    <x v="0"/>
    <x v="0"/>
    <x v="1"/>
    <x v="0"/>
    <x v="0"/>
    <x v="3"/>
    <n v="141"/>
    <n v="1.0263"/>
    <n v="0.6946"/>
    <n v="1.7751999999999999"/>
    <n v="0.52800000000000002"/>
  </r>
  <r>
    <x v="0"/>
    <x v="1"/>
    <x v="0"/>
    <x v="1"/>
    <x v="0"/>
    <x v="0"/>
    <x v="0"/>
    <n v="143"/>
    <n v="0.6512"/>
    <n v="0.80700000000000005"/>
    <n v="1.8408"/>
    <n v="0.52749999999999997"/>
  </r>
  <r>
    <x v="0"/>
    <x v="1"/>
    <x v="0"/>
    <x v="0"/>
    <x v="1"/>
    <x v="0"/>
    <x v="5"/>
    <n v="79"/>
    <n v="1.2744"/>
    <n v="0.62360000000000004"/>
    <n v="1.7827"/>
    <n v="0.52749999999999997"/>
  </r>
  <r>
    <x v="0"/>
    <x v="2"/>
    <x v="1"/>
    <x v="0"/>
    <x v="1"/>
    <x v="1"/>
    <x v="5"/>
    <n v="42"/>
    <n v="0.52669999999999995"/>
    <n v="0.85599999999999998"/>
    <n v="2.0869"/>
    <n v="0.52749999999999997"/>
  </r>
  <r>
    <x v="0"/>
    <x v="0"/>
    <x v="0"/>
    <x v="1"/>
    <x v="0"/>
    <x v="1"/>
    <x v="2"/>
    <n v="137"/>
    <n v="0.5998"/>
    <n v="0.82199999999999995"/>
    <n v="2.0228000000000002"/>
    <n v="0.52749999999999997"/>
  </r>
  <r>
    <x v="0"/>
    <x v="2"/>
    <x v="1"/>
    <x v="0"/>
    <x v="1"/>
    <x v="1"/>
    <x v="0"/>
    <n v="42"/>
    <n v="0.4012"/>
    <n v="0.89200000000000002"/>
    <n v="2.2633999999999999"/>
    <n v="0.52749999999999997"/>
  </r>
  <r>
    <x v="0"/>
    <x v="1"/>
    <x v="1"/>
    <x v="0"/>
    <x v="1"/>
    <x v="1"/>
    <x v="3"/>
    <n v="42"/>
    <n v="0.253"/>
    <n v="0.93310000000000004"/>
    <n v="2.4039000000000001"/>
    <n v="0.52749999999999997"/>
  </r>
  <r>
    <x v="0"/>
    <x v="0"/>
    <x v="0"/>
    <x v="0"/>
    <x v="0"/>
    <x v="1"/>
    <x v="3"/>
    <n v="74"/>
    <n v="0.3392"/>
    <n v="0.89959999999999996"/>
    <n v="2.0905"/>
    <n v="0.52749999999999997"/>
  </r>
  <r>
    <x v="0"/>
    <x v="1"/>
    <x v="1"/>
    <x v="1"/>
    <x v="1"/>
    <x v="0"/>
    <x v="1"/>
    <n v="86"/>
    <n v="0.85140000000000005"/>
    <n v="0.74750000000000005"/>
    <n v="1.8782000000000001"/>
    <n v="0.52749999999999997"/>
  </r>
  <r>
    <x v="0"/>
    <x v="0"/>
    <x v="1"/>
    <x v="1"/>
    <x v="1"/>
    <x v="0"/>
    <x v="1"/>
    <n v="73"/>
    <n v="1.27"/>
    <n v="0.62090000000000001"/>
    <n v="1.7757000000000001"/>
    <n v="0.52749999999999997"/>
  </r>
  <r>
    <x v="0"/>
    <x v="1"/>
    <x v="2"/>
    <x v="1"/>
    <x v="0"/>
    <x v="0"/>
    <x v="4"/>
    <n v="284"/>
    <n v="0.57310000000000005"/>
    <n v="0.82950000000000002"/>
    <n v="1.8969"/>
    <n v="0.52700000000000002"/>
  </r>
  <r>
    <x v="0"/>
    <x v="1"/>
    <x v="2"/>
    <x v="1"/>
    <x v="1"/>
    <x v="0"/>
    <x v="3"/>
    <n v="289"/>
    <n v="0.89349999999999996"/>
    <n v="0.72850000000000004"/>
    <n v="1.7851999999999999"/>
    <n v="0.52700000000000002"/>
  </r>
  <r>
    <x v="0"/>
    <x v="0"/>
    <x v="0"/>
    <x v="0"/>
    <x v="1"/>
    <x v="1"/>
    <x v="0"/>
    <n v="76"/>
    <n v="0.53220000000000001"/>
    <n v="0.84799999999999998"/>
    <n v="2.0154000000000001"/>
    <n v="0.52700000000000002"/>
  </r>
  <r>
    <x v="0"/>
    <x v="0"/>
    <x v="2"/>
    <x v="0"/>
    <x v="0"/>
    <x v="1"/>
    <x v="3"/>
    <n v="167"/>
    <n v="0.37819999999999998"/>
    <n v="0.88690000000000002"/>
    <n v="1.9971000000000001"/>
    <n v="0.52700000000000002"/>
  </r>
  <r>
    <x v="0"/>
    <x v="0"/>
    <x v="1"/>
    <x v="0"/>
    <x v="0"/>
    <x v="1"/>
    <x v="4"/>
    <n v="49"/>
    <n v="0.31850000000000001"/>
    <n v="0.91200000000000003"/>
    <n v="2.2063000000000001"/>
    <n v="0.52700000000000002"/>
  </r>
  <r>
    <x v="0"/>
    <x v="2"/>
    <x v="0"/>
    <x v="1"/>
    <x v="0"/>
    <x v="0"/>
    <x v="1"/>
    <n v="141"/>
    <n v="0.65100000000000002"/>
    <n v="0.80910000000000004"/>
    <n v="1.8492"/>
    <n v="0.52700000000000002"/>
  </r>
  <r>
    <x v="0"/>
    <x v="0"/>
    <x v="2"/>
    <x v="0"/>
    <x v="0"/>
    <x v="0"/>
    <x v="2"/>
    <n v="140"/>
    <n v="1.1359999999999999"/>
    <n v="0.66259999999999997"/>
    <n v="1.6869000000000001"/>
    <n v="0.52700000000000002"/>
  </r>
  <r>
    <x v="0"/>
    <x v="1"/>
    <x v="1"/>
    <x v="0"/>
    <x v="0"/>
    <x v="0"/>
    <x v="0"/>
    <n v="48"/>
    <n v="0.78910000000000002"/>
    <n v="0.77339999999999998"/>
    <n v="1.8193999999999999"/>
    <n v="0.52649999999999997"/>
  </r>
  <r>
    <x v="0"/>
    <x v="0"/>
    <x v="0"/>
    <x v="0"/>
    <x v="1"/>
    <x v="1"/>
    <x v="5"/>
    <n v="76"/>
    <n v="0.63839999999999997"/>
    <n v="0.81710000000000005"/>
    <n v="1.9360999999999999"/>
    <n v="0.52649999999999997"/>
  </r>
  <r>
    <x v="0"/>
    <x v="1"/>
    <x v="0"/>
    <x v="0"/>
    <x v="0"/>
    <x v="1"/>
    <x v="0"/>
    <n v="73"/>
    <n v="0.22439999999999999"/>
    <n v="0.93600000000000005"/>
    <n v="2.3662000000000001"/>
    <n v="0.52649999999999997"/>
  </r>
  <r>
    <x v="0"/>
    <x v="2"/>
    <x v="1"/>
    <x v="0"/>
    <x v="0"/>
    <x v="1"/>
    <x v="0"/>
    <n v="42"/>
    <n v="0.30620000000000003"/>
    <n v="0.91759999999999997"/>
    <n v="2.3365999999999998"/>
    <n v="0.52649999999999997"/>
  </r>
  <r>
    <x v="0"/>
    <x v="0"/>
    <x v="1"/>
    <x v="0"/>
    <x v="1"/>
    <x v="1"/>
    <x v="1"/>
    <n v="51"/>
    <n v="0.40029999999999999"/>
    <n v="0.88849999999999996"/>
    <n v="2.3140000000000001"/>
    <n v="0.52649999999999997"/>
  </r>
  <r>
    <x v="0"/>
    <x v="2"/>
    <x v="1"/>
    <x v="1"/>
    <x v="0"/>
    <x v="0"/>
    <x v="2"/>
    <n v="73"/>
    <n v="0.89219999999999999"/>
    <n v="0.74199999999999999"/>
    <n v="1.8194999999999999"/>
    <n v="0.52649999999999997"/>
  </r>
  <r>
    <x v="0"/>
    <x v="2"/>
    <x v="2"/>
    <x v="1"/>
    <x v="1"/>
    <x v="0"/>
    <x v="3"/>
    <n v="301"/>
    <n v="0.98270000000000002"/>
    <n v="0.70489999999999997"/>
    <n v="1.7484999999999999"/>
    <n v="0.52649999999999997"/>
  </r>
  <r>
    <x v="0"/>
    <x v="1"/>
    <x v="0"/>
    <x v="1"/>
    <x v="1"/>
    <x v="0"/>
    <x v="2"/>
    <n v="153"/>
    <n v="1.0547"/>
    <n v="0.6865"/>
    <n v="1.7659"/>
    <n v="0.52600000000000002"/>
  </r>
  <r>
    <x v="0"/>
    <x v="0"/>
    <x v="1"/>
    <x v="1"/>
    <x v="1"/>
    <x v="1"/>
    <x v="3"/>
    <n v="69"/>
    <n v="0.73050000000000004"/>
    <n v="0.78700000000000003"/>
    <n v="1.9729000000000001"/>
    <n v="0.52600000000000002"/>
  </r>
  <r>
    <x v="0"/>
    <x v="2"/>
    <x v="1"/>
    <x v="1"/>
    <x v="1"/>
    <x v="0"/>
    <x v="2"/>
    <n v="72"/>
    <n v="1.2603"/>
    <n v="0.62239999999999995"/>
    <n v="1.7773000000000001"/>
    <n v="0.52600000000000002"/>
  </r>
  <r>
    <x v="0"/>
    <x v="0"/>
    <x v="1"/>
    <x v="0"/>
    <x v="0"/>
    <x v="0"/>
    <x v="5"/>
    <n v="48"/>
    <n v="1.1737"/>
    <n v="0.65290000000000004"/>
    <n v="1.8018000000000001"/>
    <n v="0.52600000000000002"/>
  </r>
  <r>
    <x v="0"/>
    <x v="0"/>
    <x v="2"/>
    <x v="0"/>
    <x v="1"/>
    <x v="0"/>
    <x v="3"/>
    <n v="173"/>
    <n v="1.2394000000000001"/>
    <n v="0.63300000000000001"/>
    <n v="1.7694000000000001"/>
    <n v="0.52600000000000002"/>
  </r>
  <r>
    <x v="0"/>
    <x v="1"/>
    <x v="1"/>
    <x v="0"/>
    <x v="0"/>
    <x v="1"/>
    <x v="2"/>
    <n v="50"/>
    <n v="0.28239999999999998"/>
    <n v="0.92390000000000005"/>
    <n v="2.3367"/>
    <n v="0.52549999999999997"/>
  </r>
  <r>
    <x v="0"/>
    <x v="1"/>
    <x v="2"/>
    <x v="1"/>
    <x v="0"/>
    <x v="1"/>
    <x v="0"/>
    <n v="277"/>
    <n v="0.27410000000000001"/>
    <n v="0.91800000000000004"/>
    <n v="2.1659000000000002"/>
    <n v="0.52549999999999997"/>
  </r>
  <r>
    <x v="0"/>
    <x v="0"/>
    <x v="1"/>
    <x v="1"/>
    <x v="0"/>
    <x v="1"/>
    <x v="0"/>
    <n v="68"/>
    <n v="0.62050000000000005"/>
    <n v="0.8196"/>
    <n v="1.9851000000000001"/>
    <n v="0.52549999999999997"/>
  </r>
  <r>
    <x v="0"/>
    <x v="2"/>
    <x v="0"/>
    <x v="0"/>
    <x v="0"/>
    <x v="1"/>
    <x v="2"/>
    <n v="74"/>
    <n v="0.34029999999999999"/>
    <n v="0.90139999999999998"/>
    <n v="2.1183999999999998"/>
    <n v="0.52500000000000002"/>
  </r>
  <r>
    <x v="0"/>
    <x v="2"/>
    <x v="0"/>
    <x v="0"/>
    <x v="1"/>
    <x v="0"/>
    <x v="5"/>
    <n v="70"/>
    <n v="1.4016999999999999"/>
    <n v="0.56540000000000001"/>
    <n v="1.7690999999999999"/>
    <n v="0.52500000000000002"/>
  </r>
  <r>
    <x v="0"/>
    <x v="2"/>
    <x v="0"/>
    <x v="0"/>
    <x v="0"/>
    <x v="1"/>
    <x v="5"/>
    <n v="74"/>
    <n v="0.37480000000000002"/>
    <n v="0.89390000000000003"/>
    <n v="2.0472999999999999"/>
    <n v="0.52449999999999997"/>
  </r>
  <r>
    <x v="0"/>
    <x v="0"/>
    <x v="2"/>
    <x v="1"/>
    <x v="1"/>
    <x v="1"/>
    <x v="5"/>
    <n v="292"/>
    <n v="0.78820000000000001"/>
    <n v="0.76500000000000001"/>
    <n v="1.8758999999999999"/>
    <n v="0.52449999999999997"/>
  </r>
  <r>
    <x v="0"/>
    <x v="2"/>
    <x v="0"/>
    <x v="1"/>
    <x v="0"/>
    <x v="1"/>
    <x v="2"/>
    <n v="136"/>
    <n v="0.38590000000000002"/>
    <n v="0.88580000000000003"/>
    <n v="2.0436000000000001"/>
    <n v="0.52449999999999997"/>
  </r>
  <r>
    <x v="0"/>
    <x v="1"/>
    <x v="1"/>
    <x v="0"/>
    <x v="1"/>
    <x v="1"/>
    <x v="0"/>
    <n v="42"/>
    <n v="0.29199999999999998"/>
    <n v="0.91930000000000001"/>
    <n v="2.2812000000000001"/>
    <n v="0.52449999999999997"/>
  </r>
  <r>
    <x v="0"/>
    <x v="0"/>
    <x v="0"/>
    <x v="1"/>
    <x v="0"/>
    <x v="0"/>
    <x v="5"/>
    <n v="141"/>
    <n v="1.1797"/>
    <n v="0.65010000000000001"/>
    <n v="1.7309000000000001"/>
    <n v="0.52449999999999997"/>
  </r>
  <r>
    <x v="0"/>
    <x v="1"/>
    <x v="1"/>
    <x v="1"/>
    <x v="0"/>
    <x v="0"/>
    <x v="1"/>
    <n v="73"/>
    <n v="0.60950000000000004"/>
    <n v="0.82040000000000002"/>
    <n v="1.9315"/>
    <n v="0.52449999999999997"/>
  </r>
  <r>
    <x v="0"/>
    <x v="1"/>
    <x v="2"/>
    <x v="1"/>
    <x v="0"/>
    <x v="0"/>
    <x v="1"/>
    <n v="283"/>
    <n v="0.52600000000000002"/>
    <n v="0.84609999999999996"/>
    <n v="1.925"/>
    <n v="0.52449999999999997"/>
  </r>
  <r>
    <x v="0"/>
    <x v="2"/>
    <x v="0"/>
    <x v="0"/>
    <x v="1"/>
    <x v="1"/>
    <x v="2"/>
    <n v="75"/>
    <n v="0.44819999999999999"/>
    <n v="0.87309999999999999"/>
    <n v="2.0556000000000001"/>
    <n v="0.52400000000000002"/>
  </r>
  <r>
    <x v="0"/>
    <x v="0"/>
    <x v="1"/>
    <x v="0"/>
    <x v="1"/>
    <x v="1"/>
    <x v="2"/>
    <n v="52"/>
    <n v="0.60960000000000003"/>
    <n v="0.8327"/>
    <n v="2.1063000000000001"/>
    <n v="0.52400000000000002"/>
  </r>
  <r>
    <x v="0"/>
    <x v="2"/>
    <x v="2"/>
    <x v="1"/>
    <x v="0"/>
    <x v="1"/>
    <x v="3"/>
    <n v="276"/>
    <n v="0.31559999999999999"/>
    <n v="0.90269999999999995"/>
    <n v="2.2040000000000002"/>
    <n v="0.52400000000000002"/>
  </r>
  <r>
    <x v="0"/>
    <x v="2"/>
    <x v="1"/>
    <x v="1"/>
    <x v="0"/>
    <x v="1"/>
    <x v="1"/>
    <n v="67"/>
    <n v="0.3362"/>
    <n v="0.90290000000000004"/>
    <n v="2.2446999999999999"/>
    <n v="0.52400000000000002"/>
  </r>
  <r>
    <x v="0"/>
    <x v="2"/>
    <x v="2"/>
    <x v="0"/>
    <x v="1"/>
    <x v="0"/>
    <x v="2"/>
    <n v="149"/>
    <n v="1.3005"/>
    <n v="0.60909999999999997"/>
    <n v="1.7415"/>
    <n v="0.52400000000000002"/>
  </r>
  <r>
    <x v="0"/>
    <x v="1"/>
    <x v="0"/>
    <x v="1"/>
    <x v="0"/>
    <x v="0"/>
    <x v="3"/>
    <n v="143"/>
    <n v="0.60440000000000005"/>
    <n v="0.81840000000000002"/>
    <n v="1.8987000000000001"/>
    <n v="0.52349999999999997"/>
  </r>
  <r>
    <x v="0"/>
    <x v="1"/>
    <x v="2"/>
    <x v="1"/>
    <x v="0"/>
    <x v="0"/>
    <x v="3"/>
    <n v="284"/>
    <n v="0.62649999999999995"/>
    <n v="0.8075"/>
    <n v="1.8456999999999999"/>
    <n v="0.52349999999999997"/>
  </r>
  <r>
    <x v="0"/>
    <x v="2"/>
    <x v="1"/>
    <x v="0"/>
    <x v="0"/>
    <x v="1"/>
    <x v="5"/>
    <n v="42"/>
    <n v="0.37509999999999999"/>
    <n v="0.89739999999999998"/>
    <n v="2.1421000000000001"/>
    <n v="0.52349999999999997"/>
  </r>
  <r>
    <x v="0"/>
    <x v="2"/>
    <x v="1"/>
    <x v="1"/>
    <x v="0"/>
    <x v="1"/>
    <x v="4"/>
    <n v="65"/>
    <n v="0.35949999999999999"/>
    <n v="0.89570000000000005"/>
    <n v="2.2016"/>
    <n v="0.52349999999999997"/>
  </r>
  <r>
    <x v="0"/>
    <x v="1"/>
    <x v="1"/>
    <x v="1"/>
    <x v="0"/>
    <x v="0"/>
    <x v="2"/>
    <n v="73"/>
    <n v="0.83760000000000001"/>
    <n v="0.7571"/>
    <n v="1.8589"/>
    <n v="0.52300000000000002"/>
  </r>
  <r>
    <x v="0"/>
    <x v="1"/>
    <x v="0"/>
    <x v="1"/>
    <x v="1"/>
    <x v="0"/>
    <x v="3"/>
    <n v="155"/>
    <n v="0.90869999999999995"/>
    <n v="0.72889999999999999"/>
    <n v="1.7535000000000001"/>
    <n v="0.52300000000000002"/>
  </r>
  <r>
    <x v="0"/>
    <x v="1"/>
    <x v="0"/>
    <x v="0"/>
    <x v="0"/>
    <x v="1"/>
    <x v="4"/>
    <n v="73"/>
    <n v="0.2019"/>
    <n v="0.94499999999999995"/>
    <n v="2.4605999999999999"/>
    <n v="0.52300000000000002"/>
  </r>
  <r>
    <x v="0"/>
    <x v="0"/>
    <x v="1"/>
    <x v="0"/>
    <x v="1"/>
    <x v="1"/>
    <x v="4"/>
    <n v="51"/>
    <n v="0.43640000000000001"/>
    <n v="0.87709999999999999"/>
    <n v="2.3157999999999999"/>
    <n v="0.52300000000000002"/>
  </r>
  <r>
    <x v="0"/>
    <x v="1"/>
    <x v="2"/>
    <x v="1"/>
    <x v="1"/>
    <x v="1"/>
    <x v="1"/>
    <n v="288"/>
    <n v="0.2792"/>
    <n v="0.91679999999999995"/>
    <n v="2.1646000000000001"/>
    <n v="0.52300000000000002"/>
  </r>
  <r>
    <x v="0"/>
    <x v="2"/>
    <x v="0"/>
    <x v="0"/>
    <x v="1"/>
    <x v="1"/>
    <x v="1"/>
    <n v="72"/>
    <n v="0.2843"/>
    <n v="0.91710000000000003"/>
    <n v="2.2926000000000002"/>
    <n v="0.52300000000000002"/>
  </r>
  <r>
    <x v="0"/>
    <x v="2"/>
    <x v="0"/>
    <x v="1"/>
    <x v="1"/>
    <x v="0"/>
    <x v="0"/>
    <n v="142"/>
    <n v="1.0951"/>
    <n v="0.6744"/>
    <n v="1.7304999999999999"/>
    <n v="0.52300000000000002"/>
  </r>
  <r>
    <x v="0"/>
    <x v="0"/>
    <x v="1"/>
    <x v="1"/>
    <x v="0"/>
    <x v="0"/>
    <x v="3"/>
    <n v="74"/>
    <n v="1.04"/>
    <n v="0.69110000000000005"/>
    <n v="1.8428"/>
    <n v="0.52300000000000002"/>
  </r>
  <r>
    <x v="0"/>
    <x v="1"/>
    <x v="0"/>
    <x v="0"/>
    <x v="1"/>
    <x v="0"/>
    <x v="1"/>
    <n v="73"/>
    <n v="0.86870000000000003"/>
    <n v="0.74809999999999999"/>
    <n v="1.8207"/>
    <n v="0.52300000000000002"/>
  </r>
  <r>
    <x v="0"/>
    <x v="0"/>
    <x v="2"/>
    <x v="0"/>
    <x v="1"/>
    <x v="0"/>
    <x v="5"/>
    <n v="172"/>
    <n v="1.4699"/>
    <n v="0.55649999999999999"/>
    <n v="1.7351000000000001"/>
    <n v="0.52300000000000002"/>
  </r>
  <r>
    <x v="0"/>
    <x v="1"/>
    <x v="0"/>
    <x v="1"/>
    <x v="1"/>
    <x v="0"/>
    <x v="5"/>
    <n v="148"/>
    <n v="1.1171"/>
    <n v="0.67190000000000005"/>
    <n v="1.8398000000000001"/>
    <n v="0.52249999999999996"/>
  </r>
  <r>
    <x v="0"/>
    <x v="0"/>
    <x v="0"/>
    <x v="0"/>
    <x v="0"/>
    <x v="1"/>
    <x v="2"/>
    <n v="74"/>
    <n v="0.4491"/>
    <n v="0.86890000000000001"/>
    <n v="2.0800999999999998"/>
    <n v="0.52249999999999996"/>
  </r>
  <r>
    <x v="0"/>
    <x v="1"/>
    <x v="0"/>
    <x v="1"/>
    <x v="1"/>
    <x v="1"/>
    <x v="0"/>
    <n v="160"/>
    <n v="0.41149999999999998"/>
    <n v="0.88239999999999996"/>
    <n v="2.1299000000000001"/>
    <n v="0.52249999999999996"/>
  </r>
  <r>
    <x v="0"/>
    <x v="2"/>
    <x v="1"/>
    <x v="0"/>
    <x v="1"/>
    <x v="1"/>
    <x v="4"/>
    <n v="42"/>
    <n v="0.31519999999999998"/>
    <n v="0.91610000000000003"/>
    <n v="2.3563000000000001"/>
    <n v="0.52249999999999996"/>
  </r>
  <r>
    <x v="0"/>
    <x v="1"/>
    <x v="1"/>
    <x v="1"/>
    <x v="0"/>
    <x v="0"/>
    <x v="3"/>
    <n v="73"/>
    <n v="0.70630000000000004"/>
    <n v="0.79139999999999999"/>
    <n v="1.8762000000000001"/>
    <n v="0.52200000000000002"/>
  </r>
  <r>
    <x v="0"/>
    <x v="2"/>
    <x v="0"/>
    <x v="0"/>
    <x v="0"/>
    <x v="1"/>
    <x v="0"/>
    <n v="74"/>
    <n v="0.29139999999999999"/>
    <n v="0.91690000000000005"/>
    <n v="2.2427999999999999"/>
    <n v="0.52200000000000002"/>
  </r>
  <r>
    <x v="0"/>
    <x v="2"/>
    <x v="1"/>
    <x v="0"/>
    <x v="1"/>
    <x v="1"/>
    <x v="3"/>
    <n v="42"/>
    <n v="0.34799999999999998"/>
    <n v="0.90610000000000002"/>
    <n v="2.2393000000000001"/>
    <n v="0.52200000000000002"/>
  </r>
  <r>
    <x v="0"/>
    <x v="0"/>
    <x v="1"/>
    <x v="1"/>
    <x v="0"/>
    <x v="1"/>
    <x v="3"/>
    <n v="67"/>
    <n v="0.59750000000000003"/>
    <n v="0.82340000000000002"/>
    <n v="1.9742"/>
    <n v="0.52200000000000002"/>
  </r>
  <r>
    <x v="0"/>
    <x v="2"/>
    <x v="0"/>
    <x v="1"/>
    <x v="1"/>
    <x v="1"/>
    <x v="1"/>
    <n v="138"/>
    <n v="0.379"/>
    <n v="0.88719999999999999"/>
    <n v="2.1566999999999998"/>
    <n v="0.52200000000000002"/>
  </r>
  <r>
    <x v="0"/>
    <x v="0"/>
    <x v="0"/>
    <x v="1"/>
    <x v="1"/>
    <x v="0"/>
    <x v="0"/>
    <n v="141"/>
    <n v="1.2904"/>
    <n v="0.61240000000000006"/>
    <n v="1.7975000000000001"/>
    <n v="0.52200000000000002"/>
  </r>
  <r>
    <x v="0"/>
    <x v="0"/>
    <x v="2"/>
    <x v="0"/>
    <x v="1"/>
    <x v="1"/>
    <x v="5"/>
    <n v="170"/>
    <n v="0.62980000000000003"/>
    <n v="0.81169999999999998"/>
    <n v="1.9017999999999999"/>
    <n v="0.52149999999999996"/>
  </r>
  <r>
    <x v="0"/>
    <x v="0"/>
    <x v="2"/>
    <x v="0"/>
    <x v="0"/>
    <x v="1"/>
    <x v="2"/>
    <n v="159"/>
    <n v="0.4597"/>
    <n v="0.86609999999999998"/>
    <n v="1.9945999999999999"/>
    <n v="0.52149999999999996"/>
  </r>
  <r>
    <x v="0"/>
    <x v="1"/>
    <x v="0"/>
    <x v="1"/>
    <x v="0"/>
    <x v="1"/>
    <x v="0"/>
    <n v="136"/>
    <n v="0.3009"/>
    <n v="0.91080000000000005"/>
    <n v="2.1818"/>
    <n v="0.52149999999999996"/>
  </r>
  <r>
    <x v="0"/>
    <x v="0"/>
    <x v="0"/>
    <x v="1"/>
    <x v="0"/>
    <x v="1"/>
    <x v="0"/>
    <n v="137"/>
    <n v="0.56210000000000004"/>
    <n v="0.83499999999999996"/>
    <n v="2.0411999999999999"/>
    <n v="0.52149999999999996"/>
  </r>
  <r>
    <x v="0"/>
    <x v="0"/>
    <x v="0"/>
    <x v="0"/>
    <x v="0"/>
    <x v="1"/>
    <x v="0"/>
    <n v="74"/>
    <n v="0.4002"/>
    <n v="0.88419999999999999"/>
    <n v="2.0727000000000002"/>
    <n v="0.52149999999999996"/>
  </r>
  <r>
    <x v="0"/>
    <x v="0"/>
    <x v="2"/>
    <x v="1"/>
    <x v="1"/>
    <x v="1"/>
    <x v="4"/>
    <n v="295"/>
    <n v="0.52780000000000005"/>
    <n v="0.8458"/>
    <n v="1.9726999999999999"/>
    <n v="0.52149999999999996"/>
  </r>
  <r>
    <x v="0"/>
    <x v="2"/>
    <x v="0"/>
    <x v="0"/>
    <x v="1"/>
    <x v="0"/>
    <x v="2"/>
    <n v="70"/>
    <n v="1.302"/>
    <n v="0.61850000000000005"/>
    <n v="1.7652000000000001"/>
    <n v="0.52149999999999996"/>
  </r>
  <r>
    <x v="0"/>
    <x v="1"/>
    <x v="1"/>
    <x v="1"/>
    <x v="0"/>
    <x v="0"/>
    <x v="0"/>
    <n v="73"/>
    <n v="0.77059999999999995"/>
    <n v="0.77600000000000002"/>
    <n v="1.8566"/>
    <n v="0.52100000000000002"/>
  </r>
  <r>
    <x v="0"/>
    <x v="1"/>
    <x v="2"/>
    <x v="0"/>
    <x v="0"/>
    <x v="0"/>
    <x v="5"/>
    <n v="141"/>
    <n v="1.0416000000000001"/>
    <n v="0.68769999999999998"/>
    <n v="1.7025999999999999"/>
    <n v="0.52100000000000002"/>
  </r>
  <r>
    <x v="0"/>
    <x v="1"/>
    <x v="1"/>
    <x v="0"/>
    <x v="1"/>
    <x v="1"/>
    <x v="2"/>
    <n v="42"/>
    <n v="0.36270000000000002"/>
    <n v="0.90349999999999997"/>
    <n v="2.2126000000000001"/>
    <n v="0.52100000000000002"/>
  </r>
  <r>
    <x v="0"/>
    <x v="0"/>
    <x v="1"/>
    <x v="1"/>
    <x v="0"/>
    <x v="1"/>
    <x v="2"/>
    <n v="67"/>
    <n v="0.68169999999999997"/>
    <n v="0.79879999999999995"/>
    <n v="1.9771000000000001"/>
    <n v="0.52100000000000002"/>
  </r>
  <r>
    <x v="0"/>
    <x v="2"/>
    <x v="1"/>
    <x v="1"/>
    <x v="0"/>
    <x v="1"/>
    <x v="3"/>
    <n v="65"/>
    <n v="0.38279999999999997"/>
    <n v="0.88819999999999999"/>
    <n v="2.1738"/>
    <n v="0.52100000000000002"/>
  </r>
  <r>
    <x v="0"/>
    <x v="2"/>
    <x v="0"/>
    <x v="0"/>
    <x v="1"/>
    <x v="1"/>
    <x v="3"/>
    <n v="74"/>
    <n v="0.34210000000000002"/>
    <n v="0.90339999999999998"/>
    <n v="2.2010999999999998"/>
    <n v="0.52100000000000002"/>
  </r>
  <r>
    <x v="0"/>
    <x v="0"/>
    <x v="1"/>
    <x v="1"/>
    <x v="0"/>
    <x v="0"/>
    <x v="5"/>
    <n v="75"/>
    <n v="1.2063999999999999"/>
    <n v="0.65090000000000003"/>
    <n v="1.8035000000000001"/>
    <n v="0.52100000000000002"/>
  </r>
  <r>
    <x v="0"/>
    <x v="1"/>
    <x v="2"/>
    <x v="1"/>
    <x v="1"/>
    <x v="0"/>
    <x v="0"/>
    <n v="290"/>
    <n v="0.96130000000000004"/>
    <n v="0.71360000000000001"/>
    <n v="1.7736000000000001"/>
    <n v="0.52049999999999996"/>
  </r>
  <r>
    <x v="0"/>
    <x v="2"/>
    <x v="0"/>
    <x v="1"/>
    <x v="1"/>
    <x v="1"/>
    <x v="5"/>
    <n v="138"/>
    <n v="0.62729999999999997"/>
    <n v="0.81630000000000003"/>
    <n v="2.0162"/>
    <n v="0.52049999999999996"/>
  </r>
  <r>
    <x v="0"/>
    <x v="0"/>
    <x v="1"/>
    <x v="1"/>
    <x v="1"/>
    <x v="1"/>
    <x v="5"/>
    <n v="69"/>
    <n v="0.93140000000000001"/>
    <n v="0.72340000000000004"/>
    <n v="1.9557"/>
    <n v="0.52049999999999996"/>
  </r>
  <r>
    <x v="0"/>
    <x v="2"/>
    <x v="2"/>
    <x v="1"/>
    <x v="0"/>
    <x v="1"/>
    <x v="0"/>
    <n v="277"/>
    <n v="0.35120000000000001"/>
    <n v="0.89639999999999997"/>
    <n v="2.0709"/>
    <n v="0.52049999999999996"/>
  </r>
  <r>
    <x v="0"/>
    <x v="0"/>
    <x v="1"/>
    <x v="1"/>
    <x v="1"/>
    <x v="1"/>
    <x v="0"/>
    <n v="69"/>
    <n v="0.78180000000000005"/>
    <n v="0.76549999999999996"/>
    <n v="1.9753000000000001"/>
    <n v="0.52049999999999996"/>
  </r>
  <r>
    <x v="0"/>
    <x v="1"/>
    <x v="2"/>
    <x v="0"/>
    <x v="1"/>
    <x v="1"/>
    <x v="1"/>
    <n v="165"/>
    <n v="0.2069"/>
    <n v="0.94099999999999995"/>
    <n v="2.3220000000000001"/>
    <n v="0.52049999999999996"/>
  </r>
  <r>
    <x v="0"/>
    <x v="1"/>
    <x v="1"/>
    <x v="1"/>
    <x v="1"/>
    <x v="0"/>
    <x v="5"/>
    <n v="85"/>
    <n v="1.2235"/>
    <n v="0.63370000000000004"/>
    <n v="1.8409"/>
    <n v="0.52"/>
  </r>
  <r>
    <x v="0"/>
    <x v="1"/>
    <x v="0"/>
    <x v="1"/>
    <x v="1"/>
    <x v="0"/>
    <x v="4"/>
    <n v="150"/>
    <n v="0.85370000000000001"/>
    <n v="0.746"/>
    <n v="1.8445"/>
    <n v="0.52"/>
  </r>
  <r>
    <x v="0"/>
    <x v="0"/>
    <x v="2"/>
    <x v="1"/>
    <x v="0"/>
    <x v="1"/>
    <x v="0"/>
    <n v="279"/>
    <n v="0.52839999999999998"/>
    <n v="0.84009999999999996"/>
    <n v="1.9854000000000001"/>
    <n v="0.52"/>
  </r>
  <r>
    <x v="0"/>
    <x v="2"/>
    <x v="1"/>
    <x v="0"/>
    <x v="0"/>
    <x v="1"/>
    <x v="3"/>
    <n v="42"/>
    <n v="0.28249999999999997"/>
    <n v="0.92330000000000001"/>
    <n v="2.3155999999999999"/>
    <n v="0.52"/>
  </r>
  <r>
    <x v="0"/>
    <x v="2"/>
    <x v="2"/>
    <x v="0"/>
    <x v="1"/>
    <x v="1"/>
    <x v="4"/>
    <n v="142"/>
    <n v="0.27900000000000003"/>
    <n v="0.92120000000000002"/>
    <n v="2.2178"/>
    <n v="0.52"/>
  </r>
  <r>
    <x v="0"/>
    <x v="1"/>
    <x v="0"/>
    <x v="0"/>
    <x v="1"/>
    <x v="0"/>
    <x v="2"/>
    <n v="73"/>
    <n v="1.1686000000000001"/>
    <n v="0.66080000000000005"/>
    <n v="1.7612000000000001"/>
    <n v="0.51949999999999996"/>
  </r>
  <r>
    <x v="0"/>
    <x v="0"/>
    <x v="1"/>
    <x v="0"/>
    <x v="1"/>
    <x v="1"/>
    <x v="5"/>
    <n v="50"/>
    <n v="0.70079999999999998"/>
    <n v="0.80569999999999997"/>
    <n v="2.0188000000000001"/>
    <n v="0.51949999999999996"/>
  </r>
  <r>
    <x v="0"/>
    <x v="0"/>
    <x v="0"/>
    <x v="0"/>
    <x v="0"/>
    <x v="1"/>
    <x v="1"/>
    <n v="74"/>
    <n v="0.2954"/>
    <n v="0.91539999999999999"/>
    <n v="2.1894"/>
    <n v="0.51949999999999996"/>
  </r>
  <r>
    <x v="0"/>
    <x v="2"/>
    <x v="1"/>
    <x v="0"/>
    <x v="1"/>
    <x v="0"/>
    <x v="2"/>
    <n v="41"/>
    <n v="1.4161999999999999"/>
    <n v="0.56740000000000002"/>
    <n v="1.8145"/>
    <n v="0.51900000000000002"/>
  </r>
  <r>
    <x v="0"/>
    <x v="2"/>
    <x v="0"/>
    <x v="1"/>
    <x v="0"/>
    <x v="1"/>
    <x v="5"/>
    <n v="137"/>
    <n v="0.432"/>
    <n v="0.87450000000000006"/>
    <n v="2.081"/>
    <n v="0.51900000000000002"/>
  </r>
  <r>
    <x v="0"/>
    <x v="2"/>
    <x v="0"/>
    <x v="0"/>
    <x v="1"/>
    <x v="1"/>
    <x v="5"/>
    <n v="75"/>
    <n v="0.51600000000000001"/>
    <n v="0.85450000000000004"/>
    <n v="2.0274000000000001"/>
    <n v="0.51900000000000002"/>
  </r>
  <r>
    <x v="0"/>
    <x v="0"/>
    <x v="0"/>
    <x v="1"/>
    <x v="1"/>
    <x v="1"/>
    <x v="0"/>
    <n v="139"/>
    <n v="0.69059999999999999"/>
    <n v="0.79349999999999998"/>
    <n v="2.0634000000000001"/>
    <n v="0.51900000000000002"/>
  </r>
  <r>
    <x v="0"/>
    <x v="1"/>
    <x v="2"/>
    <x v="1"/>
    <x v="1"/>
    <x v="1"/>
    <x v="3"/>
    <n v="287"/>
    <n v="0.34339999999999998"/>
    <n v="0.89710000000000001"/>
    <n v="2.0678000000000001"/>
    <n v="0.51900000000000002"/>
  </r>
  <r>
    <x v="0"/>
    <x v="0"/>
    <x v="0"/>
    <x v="1"/>
    <x v="0"/>
    <x v="1"/>
    <x v="4"/>
    <n v="137"/>
    <n v="0.46960000000000002"/>
    <n v="0.85850000000000004"/>
    <n v="2.1377000000000002"/>
    <n v="0.51900000000000002"/>
  </r>
  <r>
    <x v="0"/>
    <x v="1"/>
    <x v="0"/>
    <x v="1"/>
    <x v="1"/>
    <x v="1"/>
    <x v="1"/>
    <n v="146"/>
    <n v="0.28910000000000002"/>
    <n v="0.91659999999999997"/>
    <n v="2.2149000000000001"/>
    <n v="0.51900000000000002"/>
  </r>
  <r>
    <x v="0"/>
    <x v="1"/>
    <x v="2"/>
    <x v="1"/>
    <x v="0"/>
    <x v="1"/>
    <x v="4"/>
    <n v="279"/>
    <n v="0.23680000000000001"/>
    <n v="0.9294"/>
    <n v="2.4559000000000002"/>
    <n v="0.51849999999999996"/>
  </r>
  <r>
    <x v="0"/>
    <x v="1"/>
    <x v="2"/>
    <x v="0"/>
    <x v="1"/>
    <x v="1"/>
    <x v="4"/>
    <n v="165"/>
    <n v="0.23810000000000001"/>
    <n v="0.93310000000000004"/>
    <n v="2.2755000000000001"/>
    <n v="0.51849999999999996"/>
  </r>
  <r>
    <x v="0"/>
    <x v="1"/>
    <x v="2"/>
    <x v="1"/>
    <x v="0"/>
    <x v="1"/>
    <x v="1"/>
    <n v="278"/>
    <n v="0.19950000000000001"/>
    <n v="0.9415"/>
    <n v="2.3853"/>
    <n v="0.51849999999999996"/>
  </r>
  <r>
    <x v="0"/>
    <x v="0"/>
    <x v="1"/>
    <x v="0"/>
    <x v="0"/>
    <x v="1"/>
    <x v="1"/>
    <n v="50"/>
    <n v="0.29049999999999998"/>
    <n v="0.91949999999999998"/>
    <n v="2.3374999999999999"/>
    <n v="0.51800000000000002"/>
  </r>
  <r>
    <x v="0"/>
    <x v="2"/>
    <x v="2"/>
    <x v="1"/>
    <x v="0"/>
    <x v="1"/>
    <x v="2"/>
    <n v="276"/>
    <n v="0.38200000000000001"/>
    <n v="0.89019999999999999"/>
    <n v="2.0808"/>
    <n v="0.51749999999999996"/>
  </r>
  <r>
    <x v="0"/>
    <x v="1"/>
    <x v="1"/>
    <x v="0"/>
    <x v="0"/>
    <x v="1"/>
    <x v="0"/>
    <n v="49"/>
    <n v="0.2641"/>
    <n v="0.93030000000000002"/>
    <n v="2.3824999999999998"/>
    <n v="0.51749999999999996"/>
  </r>
  <r>
    <x v="0"/>
    <x v="1"/>
    <x v="0"/>
    <x v="1"/>
    <x v="0"/>
    <x v="1"/>
    <x v="1"/>
    <n v="136"/>
    <n v="0.22189999999999999"/>
    <n v="0.93630000000000002"/>
    <n v="2.3210000000000002"/>
    <n v="0.51749999999999996"/>
  </r>
  <r>
    <x v="0"/>
    <x v="0"/>
    <x v="1"/>
    <x v="0"/>
    <x v="1"/>
    <x v="0"/>
    <x v="3"/>
    <n v="42"/>
    <n v="1.3592"/>
    <n v="0.58840000000000003"/>
    <n v="1.7844"/>
    <n v="0.51749999999999996"/>
  </r>
  <r>
    <x v="0"/>
    <x v="0"/>
    <x v="0"/>
    <x v="0"/>
    <x v="1"/>
    <x v="0"/>
    <x v="2"/>
    <n v="75"/>
    <n v="1.4133"/>
    <n v="0.57010000000000005"/>
    <n v="1.7689999999999999"/>
    <n v="0.51749999999999996"/>
  </r>
  <r>
    <x v="0"/>
    <x v="2"/>
    <x v="1"/>
    <x v="0"/>
    <x v="0"/>
    <x v="0"/>
    <x v="5"/>
    <n v="41"/>
    <n v="1.0705"/>
    <n v="0.69189999999999996"/>
    <n v="1.8419000000000001"/>
    <n v="0.51700000000000002"/>
  </r>
  <r>
    <x v="0"/>
    <x v="0"/>
    <x v="0"/>
    <x v="0"/>
    <x v="0"/>
    <x v="1"/>
    <x v="5"/>
    <n v="75"/>
    <n v="0.49"/>
    <n v="0.85780000000000001"/>
    <n v="1.9907999999999999"/>
    <n v="0.51700000000000002"/>
  </r>
  <r>
    <x v="0"/>
    <x v="2"/>
    <x v="2"/>
    <x v="1"/>
    <x v="1"/>
    <x v="1"/>
    <x v="4"/>
    <n v="286"/>
    <n v="0.41260000000000002"/>
    <n v="0.87290000000000001"/>
    <n v="2.1576"/>
    <n v="0.51700000000000002"/>
  </r>
  <r>
    <x v="0"/>
    <x v="0"/>
    <x v="1"/>
    <x v="1"/>
    <x v="0"/>
    <x v="1"/>
    <x v="4"/>
    <n v="67"/>
    <n v="0.54579999999999995"/>
    <n v="0.8397"/>
    <n v="2.0640000000000001"/>
    <n v="0.51700000000000002"/>
  </r>
  <r>
    <x v="0"/>
    <x v="0"/>
    <x v="1"/>
    <x v="1"/>
    <x v="0"/>
    <x v="0"/>
    <x v="0"/>
    <n v="74"/>
    <n v="1.0953999999999999"/>
    <n v="0.67879999999999996"/>
    <n v="1.8203"/>
    <n v="0.51700000000000002"/>
  </r>
  <r>
    <x v="0"/>
    <x v="1"/>
    <x v="1"/>
    <x v="0"/>
    <x v="1"/>
    <x v="0"/>
    <x v="2"/>
    <n v="42"/>
    <n v="1.2597"/>
    <n v="0.62790000000000001"/>
    <n v="1.8278000000000001"/>
    <n v="0.51649999999999996"/>
  </r>
  <r>
    <x v="0"/>
    <x v="1"/>
    <x v="1"/>
    <x v="0"/>
    <x v="0"/>
    <x v="1"/>
    <x v="5"/>
    <n v="49"/>
    <n v="0.34620000000000001"/>
    <n v="0.9073"/>
    <n v="2.2025999999999999"/>
    <n v="0.51649999999999996"/>
  </r>
  <r>
    <x v="0"/>
    <x v="2"/>
    <x v="1"/>
    <x v="1"/>
    <x v="0"/>
    <x v="1"/>
    <x v="5"/>
    <n v="66"/>
    <n v="0.5272"/>
    <n v="0.84350000000000003"/>
    <n v="2.0882999999999998"/>
    <n v="0.51649999999999996"/>
  </r>
  <r>
    <x v="0"/>
    <x v="2"/>
    <x v="2"/>
    <x v="0"/>
    <x v="0"/>
    <x v="1"/>
    <x v="2"/>
    <n v="141"/>
    <n v="0.35859999999999997"/>
    <n v="0.8962"/>
    <n v="2.1006999999999998"/>
    <n v="0.51649999999999996"/>
  </r>
  <r>
    <x v="0"/>
    <x v="2"/>
    <x v="2"/>
    <x v="1"/>
    <x v="1"/>
    <x v="1"/>
    <x v="1"/>
    <n v="287"/>
    <n v="0.36799999999999999"/>
    <n v="0.88959999999999995"/>
    <n v="2.1472000000000002"/>
    <n v="0.51649999999999996"/>
  </r>
  <r>
    <x v="0"/>
    <x v="0"/>
    <x v="0"/>
    <x v="1"/>
    <x v="1"/>
    <x v="1"/>
    <x v="3"/>
    <n v="139"/>
    <n v="0.63870000000000005"/>
    <n v="0.80889999999999995"/>
    <n v="1.9262999999999999"/>
    <n v="0.51600000000000001"/>
  </r>
  <r>
    <x v="0"/>
    <x v="2"/>
    <x v="2"/>
    <x v="1"/>
    <x v="0"/>
    <x v="1"/>
    <x v="1"/>
    <n v="277"/>
    <n v="0.2505"/>
    <n v="0.92559999999999998"/>
    <n v="2.2677"/>
    <n v="0.51600000000000001"/>
  </r>
  <r>
    <x v="0"/>
    <x v="0"/>
    <x v="1"/>
    <x v="1"/>
    <x v="1"/>
    <x v="1"/>
    <x v="1"/>
    <n v="69"/>
    <n v="0.63300000000000001"/>
    <n v="0.81189999999999996"/>
    <n v="2.0367000000000002"/>
    <n v="0.51600000000000001"/>
  </r>
  <r>
    <x v="0"/>
    <x v="2"/>
    <x v="2"/>
    <x v="0"/>
    <x v="1"/>
    <x v="0"/>
    <x v="5"/>
    <n v="151"/>
    <n v="1.3915999999999999"/>
    <n v="0.58009999999999995"/>
    <n v="1.7938000000000001"/>
    <n v="0.51600000000000001"/>
  </r>
  <r>
    <x v="0"/>
    <x v="0"/>
    <x v="0"/>
    <x v="1"/>
    <x v="1"/>
    <x v="0"/>
    <x v="2"/>
    <n v="142"/>
    <n v="1.3315999999999999"/>
    <n v="0.59789999999999999"/>
    <n v="1.766"/>
    <n v="0.51600000000000001"/>
  </r>
  <r>
    <x v="0"/>
    <x v="2"/>
    <x v="1"/>
    <x v="1"/>
    <x v="0"/>
    <x v="1"/>
    <x v="0"/>
    <n v="66"/>
    <n v="0.42030000000000001"/>
    <n v="0.87839999999999996"/>
    <n v="2.0701999999999998"/>
    <n v="0.51549999999999996"/>
  </r>
  <r>
    <x v="0"/>
    <x v="1"/>
    <x v="2"/>
    <x v="0"/>
    <x v="1"/>
    <x v="0"/>
    <x v="5"/>
    <n v="150"/>
    <n v="1.2789999999999999"/>
    <n v="0.61319999999999997"/>
    <n v="1.7802"/>
    <n v="0.51500000000000001"/>
  </r>
  <r>
    <x v="0"/>
    <x v="2"/>
    <x v="1"/>
    <x v="0"/>
    <x v="0"/>
    <x v="1"/>
    <x v="2"/>
    <n v="42"/>
    <n v="0.33589999999999998"/>
    <n v="0.90939999999999999"/>
    <n v="2.2324000000000002"/>
    <n v="0.51500000000000001"/>
  </r>
  <r>
    <x v="0"/>
    <x v="0"/>
    <x v="1"/>
    <x v="0"/>
    <x v="0"/>
    <x v="1"/>
    <x v="2"/>
    <n v="49"/>
    <n v="0.44769999999999999"/>
    <n v="0.875"/>
    <n v="2.1781000000000001"/>
    <n v="0.51500000000000001"/>
  </r>
  <r>
    <x v="0"/>
    <x v="1"/>
    <x v="0"/>
    <x v="1"/>
    <x v="1"/>
    <x v="1"/>
    <x v="4"/>
    <n v="149"/>
    <n v="0.315"/>
    <n v="0.90790000000000004"/>
    <n v="2.2054"/>
    <n v="0.51500000000000001"/>
  </r>
  <r>
    <x v="0"/>
    <x v="1"/>
    <x v="1"/>
    <x v="0"/>
    <x v="1"/>
    <x v="1"/>
    <x v="1"/>
    <n v="42"/>
    <n v="0.2011"/>
    <n v="0.9456"/>
    <n v="2.4836"/>
    <n v="0.51500000000000001"/>
  </r>
  <r>
    <x v="0"/>
    <x v="1"/>
    <x v="0"/>
    <x v="1"/>
    <x v="1"/>
    <x v="1"/>
    <x v="5"/>
    <n v="148"/>
    <n v="0.49769999999999998"/>
    <n v="0.85619999999999996"/>
    <n v="2.0568"/>
    <n v="0.51449999999999996"/>
  </r>
  <r>
    <x v="0"/>
    <x v="0"/>
    <x v="0"/>
    <x v="0"/>
    <x v="0"/>
    <x v="1"/>
    <x v="4"/>
    <n v="75"/>
    <n v="0.31830000000000003"/>
    <n v="0.90749999999999997"/>
    <n v="2.2692000000000001"/>
    <n v="0.51449999999999996"/>
  </r>
  <r>
    <x v="0"/>
    <x v="2"/>
    <x v="2"/>
    <x v="1"/>
    <x v="1"/>
    <x v="1"/>
    <x v="2"/>
    <n v="285"/>
    <n v="0.51529999999999998"/>
    <n v="0.84440000000000004"/>
    <n v="2.0659000000000001"/>
    <n v="0.51400000000000001"/>
  </r>
  <r>
    <x v="0"/>
    <x v="1"/>
    <x v="1"/>
    <x v="1"/>
    <x v="1"/>
    <x v="1"/>
    <x v="0"/>
    <n v="68"/>
    <n v="0.45100000000000001"/>
    <n v="0.86899999999999999"/>
    <n v="2.3031999999999999"/>
    <n v="0.51400000000000001"/>
  </r>
  <r>
    <x v="0"/>
    <x v="1"/>
    <x v="2"/>
    <x v="1"/>
    <x v="1"/>
    <x v="1"/>
    <x v="0"/>
    <n v="288"/>
    <n v="0.39810000000000001"/>
    <n v="0.88290000000000002"/>
    <n v="2.0716999999999999"/>
    <n v="0.51400000000000001"/>
  </r>
  <r>
    <x v="0"/>
    <x v="2"/>
    <x v="0"/>
    <x v="1"/>
    <x v="0"/>
    <x v="1"/>
    <x v="0"/>
    <n v="137"/>
    <n v="0.33839999999999998"/>
    <n v="0.9002"/>
    <n v="2.2532000000000001"/>
    <n v="0.51400000000000001"/>
  </r>
  <r>
    <x v="0"/>
    <x v="0"/>
    <x v="1"/>
    <x v="1"/>
    <x v="1"/>
    <x v="1"/>
    <x v="4"/>
    <n v="69"/>
    <n v="0.67290000000000005"/>
    <n v="0.80330000000000001"/>
    <n v="2.0840999999999998"/>
    <n v="0.51400000000000001"/>
  </r>
  <r>
    <x v="0"/>
    <x v="1"/>
    <x v="1"/>
    <x v="0"/>
    <x v="0"/>
    <x v="0"/>
    <x v="5"/>
    <n v="47"/>
    <n v="0.94969999999999999"/>
    <n v="0.72660000000000002"/>
    <n v="1.8725000000000001"/>
    <n v="0.51349999999999996"/>
  </r>
  <r>
    <x v="0"/>
    <x v="1"/>
    <x v="0"/>
    <x v="1"/>
    <x v="0"/>
    <x v="0"/>
    <x v="5"/>
    <n v="143"/>
    <n v="0.78190000000000004"/>
    <n v="0.7671"/>
    <n v="1.8338000000000001"/>
    <n v="0.51349999999999996"/>
  </r>
  <r>
    <x v="0"/>
    <x v="1"/>
    <x v="2"/>
    <x v="1"/>
    <x v="0"/>
    <x v="1"/>
    <x v="5"/>
    <n v="277"/>
    <n v="0.35010000000000002"/>
    <n v="0.89949999999999997"/>
    <n v="2.2465999999999999"/>
    <n v="0.51349999999999996"/>
  </r>
  <r>
    <x v="0"/>
    <x v="2"/>
    <x v="0"/>
    <x v="1"/>
    <x v="0"/>
    <x v="1"/>
    <x v="4"/>
    <n v="137"/>
    <n v="0.29049999999999998"/>
    <n v="0.91359999999999997"/>
    <n v="2.2294999999999998"/>
    <n v="0.51349999999999996"/>
  </r>
  <r>
    <x v="0"/>
    <x v="1"/>
    <x v="0"/>
    <x v="1"/>
    <x v="0"/>
    <x v="1"/>
    <x v="3"/>
    <n v="136"/>
    <n v="0.25779999999999997"/>
    <n v="0.92449999999999999"/>
    <n v="2.3691"/>
    <n v="0.51300000000000001"/>
  </r>
  <r>
    <x v="0"/>
    <x v="0"/>
    <x v="2"/>
    <x v="1"/>
    <x v="1"/>
    <x v="1"/>
    <x v="3"/>
    <n v="295"/>
    <n v="0.59670000000000001"/>
    <n v="0.82010000000000005"/>
    <n v="1.9656"/>
    <n v="0.51300000000000001"/>
  </r>
  <r>
    <x v="0"/>
    <x v="2"/>
    <x v="1"/>
    <x v="0"/>
    <x v="0"/>
    <x v="1"/>
    <x v="4"/>
    <n v="42"/>
    <n v="0.25309999999999999"/>
    <n v="0.93149999999999999"/>
    <n v="2.4828000000000001"/>
    <n v="0.51300000000000001"/>
  </r>
  <r>
    <x v="0"/>
    <x v="0"/>
    <x v="1"/>
    <x v="1"/>
    <x v="1"/>
    <x v="0"/>
    <x v="3"/>
    <n v="72"/>
    <n v="1.3821000000000001"/>
    <n v="0.58209999999999995"/>
    <n v="1.861"/>
    <n v="0.51300000000000001"/>
  </r>
  <r>
    <x v="0"/>
    <x v="2"/>
    <x v="1"/>
    <x v="1"/>
    <x v="1"/>
    <x v="0"/>
    <x v="5"/>
    <n v="72"/>
    <n v="1.3460000000000001"/>
    <n v="0.60389999999999999"/>
    <n v="1.8489"/>
    <n v="0.51249999999999996"/>
  </r>
  <r>
    <x v="0"/>
    <x v="2"/>
    <x v="1"/>
    <x v="1"/>
    <x v="1"/>
    <x v="1"/>
    <x v="1"/>
    <n v="68"/>
    <n v="0.46660000000000001"/>
    <n v="0.86419999999999997"/>
    <n v="2.2528000000000001"/>
    <n v="0.51249999999999996"/>
  </r>
  <r>
    <x v="0"/>
    <x v="1"/>
    <x v="1"/>
    <x v="0"/>
    <x v="1"/>
    <x v="1"/>
    <x v="5"/>
    <n v="42"/>
    <n v="0.41570000000000001"/>
    <n v="0.88900000000000001"/>
    <n v="2.1686999999999999"/>
    <n v="0.51200000000000001"/>
  </r>
  <r>
    <x v="0"/>
    <x v="0"/>
    <x v="0"/>
    <x v="1"/>
    <x v="1"/>
    <x v="1"/>
    <x v="5"/>
    <n v="140"/>
    <n v="0.83530000000000004"/>
    <n v="0.74639999999999995"/>
    <n v="1.9842"/>
    <n v="0.51200000000000001"/>
  </r>
  <r>
    <x v="0"/>
    <x v="1"/>
    <x v="2"/>
    <x v="0"/>
    <x v="1"/>
    <x v="1"/>
    <x v="3"/>
    <n v="165"/>
    <n v="0.26150000000000001"/>
    <n v="0.92630000000000001"/>
    <n v="2.2892999999999999"/>
    <n v="0.51200000000000001"/>
  </r>
  <r>
    <x v="0"/>
    <x v="2"/>
    <x v="0"/>
    <x v="1"/>
    <x v="0"/>
    <x v="0"/>
    <x v="4"/>
    <n v="141"/>
    <n v="0.70479999999999998"/>
    <n v="0.79400000000000004"/>
    <n v="1.9567000000000001"/>
    <n v="0.51149999999999995"/>
  </r>
  <r>
    <x v="0"/>
    <x v="1"/>
    <x v="2"/>
    <x v="0"/>
    <x v="0"/>
    <x v="1"/>
    <x v="1"/>
    <n v="138"/>
    <n v="0.1709"/>
    <n v="0.95169999999999999"/>
    <n v="2.4615999999999998"/>
    <n v="0.51149999999999995"/>
  </r>
  <r>
    <x v="0"/>
    <x v="2"/>
    <x v="1"/>
    <x v="0"/>
    <x v="0"/>
    <x v="1"/>
    <x v="1"/>
    <n v="42"/>
    <n v="0.23949999999999999"/>
    <n v="0.93369999999999997"/>
    <n v="2.3561000000000001"/>
    <n v="0.51149999999999995"/>
  </r>
  <r>
    <x v="0"/>
    <x v="0"/>
    <x v="1"/>
    <x v="0"/>
    <x v="1"/>
    <x v="0"/>
    <x v="4"/>
    <n v="41"/>
    <n v="1.2730999999999999"/>
    <n v="0.62070000000000003"/>
    <n v="1.7847999999999999"/>
    <n v="0.51149999999999995"/>
  </r>
  <r>
    <x v="0"/>
    <x v="0"/>
    <x v="0"/>
    <x v="1"/>
    <x v="1"/>
    <x v="1"/>
    <x v="2"/>
    <n v="140"/>
    <n v="0.76139999999999997"/>
    <n v="0.76659999999999995"/>
    <n v="1.9433"/>
    <n v="0.51100000000000001"/>
  </r>
  <r>
    <x v="0"/>
    <x v="2"/>
    <x v="0"/>
    <x v="1"/>
    <x v="1"/>
    <x v="1"/>
    <x v="3"/>
    <n v="139"/>
    <n v="0.4446"/>
    <n v="0.87170000000000003"/>
    <n v="2.1677"/>
    <n v="0.51100000000000001"/>
  </r>
  <r>
    <x v="0"/>
    <x v="2"/>
    <x v="0"/>
    <x v="1"/>
    <x v="1"/>
    <x v="1"/>
    <x v="4"/>
    <n v="139"/>
    <n v="0.41460000000000002"/>
    <n v="0.87639999999999996"/>
    <n v="2.2157"/>
    <n v="0.51100000000000001"/>
  </r>
  <r>
    <x v="0"/>
    <x v="2"/>
    <x v="2"/>
    <x v="0"/>
    <x v="0"/>
    <x v="1"/>
    <x v="5"/>
    <n v="142"/>
    <n v="0.4178"/>
    <n v="0.88149999999999995"/>
    <n v="2.1459000000000001"/>
    <n v="0.51"/>
  </r>
  <r>
    <x v="0"/>
    <x v="2"/>
    <x v="2"/>
    <x v="1"/>
    <x v="1"/>
    <x v="1"/>
    <x v="5"/>
    <n v="285"/>
    <n v="0.61939999999999995"/>
    <n v="0.81810000000000005"/>
    <n v="1.9811000000000001"/>
    <n v="0.50949999999999995"/>
  </r>
  <r>
    <x v="0"/>
    <x v="1"/>
    <x v="0"/>
    <x v="1"/>
    <x v="1"/>
    <x v="1"/>
    <x v="2"/>
    <n v="150"/>
    <n v="0.43869999999999998"/>
    <n v="0.87090000000000001"/>
    <n v="2.2199"/>
    <n v="0.50949999999999995"/>
  </r>
  <r>
    <x v="0"/>
    <x v="1"/>
    <x v="0"/>
    <x v="0"/>
    <x v="0"/>
    <x v="1"/>
    <x v="2"/>
    <n v="74"/>
    <n v="0.25919999999999999"/>
    <n v="0.9325"/>
    <n v="2.4001999999999999"/>
    <n v="0.50949999999999995"/>
  </r>
  <r>
    <x v="0"/>
    <x v="0"/>
    <x v="1"/>
    <x v="0"/>
    <x v="1"/>
    <x v="0"/>
    <x v="2"/>
    <n v="42"/>
    <n v="1.5009999999999999"/>
    <n v="0.54369999999999996"/>
    <n v="1.806"/>
    <n v="0.50949999999999995"/>
  </r>
  <r>
    <x v="0"/>
    <x v="2"/>
    <x v="1"/>
    <x v="1"/>
    <x v="0"/>
    <x v="1"/>
    <x v="2"/>
    <n v="65"/>
    <n v="0.46439999999999998"/>
    <n v="0.86680000000000001"/>
    <n v="2.0293000000000001"/>
    <n v="0.50949999999999995"/>
  </r>
  <r>
    <x v="0"/>
    <x v="2"/>
    <x v="1"/>
    <x v="1"/>
    <x v="1"/>
    <x v="1"/>
    <x v="4"/>
    <n v="68"/>
    <n v="0.48089999999999999"/>
    <n v="0.86009999999999998"/>
    <n v="2.1869999999999998"/>
    <n v="0.50949999999999995"/>
  </r>
  <r>
    <x v="0"/>
    <x v="1"/>
    <x v="0"/>
    <x v="0"/>
    <x v="0"/>
    <x v="1"/>
    <x v="5"/>
    <n v="79"/>
    <n v="0.29220000000000002"/>
    <n v="0.92030000000000001"/>
    <n v="2.2658"/>
    <n v="0.50900000000000001"/>
  </r>
  <r>
    <x v="0"/>
    <x v="2"/>
    <x v="0"/>
    <x v="0"/>
    <x v="0"/>
    <x v="1"/>
    <x v="1"/>
    <n v="74"/>
    <n v="0.2331"/>
    <n v="0.93540000000000001"/>
    <n v="2.2743000000000002"/>
    <n v="0.50900000000000001"/>
  </r>
  <r>
    <x v="0"/>
    <x v="0"/>
    <x v="1"/>
    <x v="1"/>
    <x v="1"/>
    <x v="0"/>
    <x v="0"/>
    <n v="73"/>
    <n v="1.4428000000000001"/>
    <n v="0.56999999999999995"/>
    <n v="1.8110999999999999"/>
    <n v="0.50849999999999995"/>
  </r>
  <r>
    <x v="0"/>
    <x v="2"/>
    <x v="1"/>
    <x v="1"/>
    <x v="1"/>
    <x v="1"/>
    <x v="5"/>
    <n v="69"/>
    <n v="0.72709999999999997"/>
    <n v="0.78310000000000002"/>
    <n v="1.9955000000000001"/>
    <n v="0.50849999999999995"/>
  </r>
  <r>
    <x v="0"/>
    <x v="2"/>
    <x v="2"/>
    <x v="1"/>
    <x v="1"/>
    <x v="1"/>
    <x v="0"/>
    <n v="285"/>
    <n v="0.48449999999999999"/>
    <n v="0.85640000000000005"/>
    <n v="2.1589"/>
    <n v="0.50849999999999995"/>
  </r>
  <r>
    <x v="0"/>
    <x v="0"/>
    <x v="0"/>
    <x v="1"/>
    <x v="1"/>
    <x v="0"/>
    <x v="5"/>
    <n v="141"/>
    <n v="1.4160999999999999"/>
    <n v="0.57169999999999999"/>
    <n v="1.7901"/>
    <n v="0.50849999999999995"/>
  </r>
  <r>
    <x v="0"/>
    <x v="2"/>
    <x v="2"/>
    <x v="1"/>
    <x v="0"/>
    <x v="0"/>
    <x v="5"/>
    <n v="286"/>
    <n v="1.0387999999999999"/>
    <n v="0.68959999999999999"/>
    <n v="1.8593999999999999"/>
    <n v="0.50800000000000001"/>
  </r>
  <r>
    <x v="0"/>
    <x v="0"/>
    <x v="1"/>
    <x v="1"/>
    <x v="0"/>
    <x v="1"/>
    <x v="5"/>
    <n v="67"/>
    <n v="0.79420000000000002"/>
    <n v="0.76200000000000001"/>
    <n v="1.9160999999999999"/>
    <n v="0.50800000000000001"/>
  </r>
  <r>
    <x v="0"/>
    <x v="0"/>
    <x v="2"/>
    <x v="1"/>
    <x v="0"/>
    <x v="1"/>
    <x v="5"/>
    <n v="277"/>
    <n v="0.63790000000000002"/>
    <n v="0.81389999999999996"/>
    <n v="1.9033"/>
    <n v="0.50800000000000001"/>
  </r>
  <r>
    <x v="0"/>
    <x v="0"/>
    <x v="2"/>
    <x v="1"/>
    <x v="1"/>
    <x v="1"/>
    <x v="2"/>
    <n v="291"/>
    <n v="0.68669999999999998"/>
    <n v="0.7954"/>
    <n v="1.8613999999999999"/>
    <n v="0.50800000000000001"/>
  </r>
  <r>
    <x v="0"/>
    <x v="2"/>
    <x v="0"/>
    <x v="1"/>
    <x v="1"/>
    <x v="1"/>
    <x v="0"/>
    <n v="139"/>
    <n v="0.50800000000000001"/>
    <n v="0.85309999999999997"/>
    <n v="2.1827000000000001"/>
    <n v="0.50800000000000001"/>
  </r>
  <r>
    <x v="0"/>
    <x v="1"/>
    <x v="1"/>
    <x v="1"/>
    <x v="1"/>
    <x v="1"/>
    <x v="3"/>
    <n v="79"/>
    <n v="0.39979999999999999"/>
    <n v="0.88200000000000001"/>
    <n v="2.3546"/>
    <n v="0.50800000000000001"/>
  </r>
  <r>
    <x v="0"/>
    <x v="2"/>
    <x v="2"/>
    <x v="0"/>
    <x v="0"/>
    <x v="1"/>
    <x v="4"/>
    <n v="142"/>
    <n v="0.25359999999999999"/>
    <n v="0.92490000000000006"/>
    <n v="2.2517999999999998"/>
    <n v="0.50749999999999995"/>
  </r>
  <r>
    <x v="0"/>
    <x v="0"/>
    <x v="0"/>
    <x v="1"/>
    <x v="1"/>
    <x v="1"/>
    <x v="4"/>
    <n v="139"/>
    <n v="0.59719999999999995"/>
    <n v="0.82289999999999996"/>
    <n v="2.0789"/>
    <n v="0.50700000000000001"/>
  </r>
  <r>
    <x v="0"/>
    <x v="1"/>
    <x v="1"/>
    <x v="0"/>
    <x v="0"/>
    <x v="1"/>
    <x v="1"/>
    <n v="49"/>
    <n v="0.18909999999999999"/>
    <n v="0.95"/>
    <n v="2.6053000000000002"/>
    <n v="0.50700000000000001"/>
  </r>
  <r>
    <x v="0"/>
    <x v="1"/>
    <x v="1"/>
    <x v="1"/>
    <x v="0"/>
    <x v="0"/>
    <x v="4"/>
    <n v="73"/>
    <n v="0.64370000000000005"/>
    <n v="0.81240000000000001"/>
    <n v="1.9019999999999999"/>
    <n v="0.50649999999999995"/>
  </r>
  <r>
    <x v="0"/>
    <x v="1"/>
    <x v="1"/>
    <x v="0"/>
    <x v="1"/>
    <x v="0"/>
    <x v="5"/>
    <n v="41"/>
    <n v="1.3443000000000001"/>
    <n v="0.60140000000000005"/>
    <n v="1.8832"/>
    <n v="0.50649999999999995"/>
  </r>
  <r>
    <x v="0"/>
    <x v="1"/>
    <x v="2"/>
    <x v="1"/>
    <x v="0"/>
    <x v="1"/>
    <x v="2"/>
    <n v="277"/>
    <n v="0.31230000000000002"/>
    <n v="0.9083"/>
    <n v="2.1970999999999998"/>
    <n v="0.50649999999999995"/>
  </r>
  <r>
    <x v="0"/>
    <x v="0"/>
    <x v="0"/>
    <x v="1"/>
    <x v="0"/>
    <x v="1"/>
    <x v="1"/>
    <n v="137"/>
    <n v="0.41539999999999999"/>
    <n v="0.87519999999999998"/>
    <n v="2.1217999999999999"/>
    <n v="0.50649999999999995"/>
  </r>
  <r>
    <x v="0"/>
    <x v="1"/>
    <x v="1"/>
    <x v="1"/>
    <x v="1"/>
    <x v="1"/>
    <x v="2"/>
    <n v="68"/>
    <n v="0.48699999999999999"/>
    <n v="0.85860000000000003"/>
    <n v="2.2917999999999998"/>
    <n v="0.50600000000000001"/>
  </r>
  <r>
    <x v="0"/>
    <x v="1"/>
    <x v="1"/>
    <x v="1"/>
    <x v="1"/>
    <x v="1"/>
    <x v="4"/>
    <n v="79"/>
    <n v="0.3589"/>
    <n v="0.89590000000000003"/>
    <n v="2.4540000000000002"/>
    <n v="0.50600000000000001"/>
  </r>
  <r>
    <x v="0"/>
    <x v="1"/>
    <x v="2"/>
    <x v="0"/>
    <x v="0"/>
    <x v="1"/>
    <x v="5"/>
    <n v="138"/>
    <n v="0.31109999999999999"/>
    <n v="0.91049999999999998"/>
    <n v="2.3136000000000001"/>
    <n v="0.50549999999999995"/>
  </r>
  <r>
    <x v="0"/>
    <x v="1"/>
    <x v="2"/>
    <x v="1"/>
    <x v="0"/>
    <x v="1"/>
    <x v="3"/>
    <n v="278"/>
    <n v="0.2437"/>
    <n v="0.93010000000000004"/>
    <n v="2.3169"/>
    <n v="0.50549999999999995"/>
  </r>
  <r>
    <x v="0"/>
    <x v="0"/>
    <x v="2"/>
    <x v="1"/>
    <x v="0"/>
    <x v="1"/>
    <x v="1"/>
    <n v="279"/>
    <n v="0.39219999999999999"/>
    <n v="0.88260000000000005"/>
    <n v="2.0291000000000001"/>
    <n v="0.50549999999999995"/>
  </r>
  <r>
    <x v="0"/>
    <x v="2"/>
    <x v="1"/>
    <x v="0"/>
    <x v="1"/>
    <x v="0"/>
    <x v="5"/>
    <n v="41"/>
    <n v="1.5034000000000001"/>
    <n v="0.53610000000000002"/>
    <n v="1.8984000000000001"/>
    <n v="0.505"/>
  </r>
  <r>
    <x v="0"/>
    <x v="1"/>
    <x v="2"/>
    <x v="0"/>
    <x v="0"/>
    <x v="1"/>
    <x v="0"/>
    <n v="137"/>
    <n v="0.23250000000000001"/>
    <n v="0.93310000000000004"/>
    <n v="2.3315999999999999"/>
    <n v="0.505"/>
  </r>
  <r>
    <x v="0"/>
    <x v="1"/>
    <x v="0"/>
    <x v="0"/>
    <x v="0"/>
    <x v="1"/>
    <x v="1"/>
    <n v="74"/>
    <n v="0.17710000000000001"/>
    <n v="0.95199999999999996"/>
    <n v="2.4777"/>
    <n v="0.505"/>
  </r>
  <r>
    <x v="0"/>
    <x v="2"/>
    <x v="1"/>
    <x v="1"/>
    <x v="1"/>
    <x v="1"/>
    <x v="0"/>
    <n v="68"/>
    <n v="0.59670000000000001"/>
    <n v="0.82489999999999997"/>
    <n v="2.1360999999999999"/>
    <n v="0.50449999999999995"/>
  </r>
  <r>
    <x v="0"/>
    <x v="0"/>
    <x v="1"/>
    <x v="0"/>
    <x v="1"/>
    <x v="0"/>
    <x v="0"/>
    <n v="42"/>
    <n v="1.4298"/>
    <n v="0.56469999999999998"/>
    <n v="1.825"/>
    <n v="0.504"/>
  </r>
  <r>
    <x v="0"/>
    <x v="1"/>
    <x v="0"/>
    <x v="1"/>
    <x v="0"/>
    <x v="1"/>
    <x v="4"/>
    <n v="136"/>
    <n v="0.23710000000000001"/>
    <n v="0.93240000000000001"/>
    <n v="2.4483999999999999"/>
    <n v="0.504"/>
  </r>
  <r>
    <x v="0"/>
    <x v="0"/>
    <x v="1"/>
    <x v="1"/>
    <x v="1"/>
    <x v="0"/>
    <x v="4"/>
    <n v="73"/>
    <n v="1.3363"/>
    <n v="0.60440000000000005"/>
    <n v="1.8271999999999999"/>
    <n v="0.50349999999999995"/>
  </r>
  <r>
    <x v="0"/>
    <x v="1"/>
    <x v="1"/>
    <x v="1"/>
    <x v="1"/>
    <x v="1"/>
    <x v="5"/>
    <n v="68"/>
    <n v="0.55549999999999999"/>
    <n v="0.83819999999999995"/>
    <n v="2.2050000000000001"/>
    <n v="0.50349999999999995"/>
  </r>
  <r>
    <x v="0"/>
    <x v="1"/>
    <x v="2"/>
    <x v="1"/>
    <x v="1"/>
    <x v="1"/>
    <x v="5"/>
    <n v="287"/>
    <n v="0.51849999999999996"/>
    <n v="0.85"/>
    <n v="2.0304000000000002"/>
    <n v="0.50349999999999995"/>
  </r>
  <r>
    <x v="0"/>
    <x v="2"/>
    <x v="1"/>
    <x v="1"/>
    <x v="1"/>
    <x v="1"/>
    <x v="3"/>
    <n v="68"/>
    <n v="0.54659999999999997"/>
    <n v="0.83899999999999997"/>
    <n v="2.1562000000000001"/>
    <n v="0.50249999999999995"/>
  </r>
  <r>
    <x v="0"/>
    <x v="0"/>
    <x v="1"/>
    <x v="1"/>
    <x v="0"/>
    <x v="1"/>
    <x v="1"/>
    <n v="67"/>
    <n v="0.505"/>
    <n v="0.85350000000000004"/>
    <n v="2.1513"/>
    <n v="0.50249999999999995"/>
  </r>
  <r>
    <x v="0"/>
    <x v="2"/>
    <x v="0"/>
    <x v="1"/>
    <x v="0"/>
    <x v="1"/>
    <x v="3"/>
    <n v="137"/>
    <n v="0.32119999999999999"/>
    <n v="0.90620000000000001"/>
    <n v="2.2566999999999999"/>
    <n v="0.502"/>
  </r>
  <r>
    <x v="0"/>
    <x v="2"/>
    <x v="2"/>
    <x v="1"/>
    <x v="1"/>
    <x v="1"/>
    <x v="3"/>
    <n v="286"/>
    <n v="0.4496"/>
    <n v="0.86360000000000003"/>
    <n v="2.1488"/>
    <n v="0.502"/>
  </r>
  <r>
    <x v="0"/>
    <x v="1"/>
    <x v="1"/>
    <x v="1"/>
    <x v="1"/>
    <x v="1"/>
    <x v="1"/>
    <n v="79"/>
    <n v="0.34549999999999997"/>
    <n v="0.90310000000000001"/>
    <n v="2.4912000000000001"/>
    <n v="0.502"/>
  </r>
  <r>
    <x v="0"/>
    <x v="1"/>
    <x v="0"/>
    <x v="1"/>
    <x v="1"/>
    <x v="0"/>
    <x v="1"/>
    <n v="151"/>
    <n v="0.79810000000000003"/>
    <n v="0.7611"/>
    <n v="1.8724000000000001"/>
    <n v="0.50149999999999995"/>
  </r>
  <r>
    <x v="0"/>
    <x v="1"/>
    <x v="1"/>
    <x v="0"/>
    <x v="0"/>
    <x v="1"/>
    <x v="4"/>
    <n v="49"/>
    <n v="0.2122"/>
    <n v="0.94569999999999999"/>
    <n v="2.5110000000000001"/>
    <n v="0.4995"/>
  </r>
  <r>
    <x v="0"/>
    <x v="0"/>
    <x v="1"/>
    <x v="1"/>
    <x v="1"/>
    <x v="0"/>
    <x v="5"/>
    <n v="73"/>
    <n v="1.5701000000000001"/>
    <n v="0.51910000000000001"/>
    <n v="1.8533999999999999"/>
    <n v="0.4985"/>
  </r>
  <r>
    <x v="0"/>
    <x v="2"/>
    <x v="0"/>
    <x v="1"/>
    <x v="0"/>
    <x v="1"/>
    <x v="1"/>
    <n v="137"/>
    <n v="0.27410000000000001"/>
    <n v="0.91700000000000004"/>
    <n v="2.3525"/>
    <n v="0.4985"/>
  </r>
  <r>
    <x v="0"/>
    <x v="0"/>
    <x v="0"/>
    <x v="0"/>
    <x v="1"/>
    <x v="0"/>
    <x v="5"/>
    <n v="75"/>
    <n v="1.5077"/>
    <n v="0.54190000000000005"/>
    <n v="1.8475999999999999"/>
    <n v="0.4975"/>
  </r>
  <r>
    <x v="0"/>
    <x v="0"/>
    <x v="1"/>
    <x v="1"/>
    <x v="1"/>
    <x v="1"/>
    <x v="2"/>
    <n v="69"/>
    <n v="0.8629"/>
    <n v="0.74319999999999997"/>
    <n v="1.9984"/>
    <n v="0.497"/>
  </r>
  <r>
    <x v="0"/>
    <x v="1"/>
    <x v="0"/>
    <x v="0"/>
    <x v="0"/>
    <x v="1"/>
    <x v="3"/>
    <n v="74"/>
    <n v="0.1963"/>
    <n v="0.94510000000000005"/>
    <n v="2.5337999999999998"/>
    <n v="0.497"/>
  </r>
  <r>
    <x v="0"/>
    <x v="1"/>
    <x v="1"/>
    <x v="1"/>
    <x v="0"/>
    <x v="1"/>
    <x v="4"/>
    <n v="65"/>
    <n v="0.24779999999999999"/>
    <n v="0.92859999999999998"/>
    <n v="2.4340000000000002"/>
    <n v="0.497"/>
  </r>
  <r>
    <x v="0"/>
    <x v="1"/>
    <x v="2"/>
    <x v="1"/>
    <x v="1"/>
    <x v="0"/>
    <x v="5"/>
    <n v="291"/>
    <n v="1.1383000000000001"/>
    <n v="0.66290000000000004"/>
    <n v="1.8228"/>
    <n v="0.496"/>
  </r>
  <r>
    <x v="0"/>
    <x v="2"/>
    <x v="0"/>
    <x v="1"/>
    <x v="1"/>
    <x v="1"/>
    <x v="2"/>
    <n v="138"/>
    <n v="0.55000000000000004"/>
    <n v="0.83599999999999997"/>
    <n v="2.1793"/>
    <n v="0.4955"/>
  </r>
  <r>
    <x v="0"/>
    <x v="0"/>
    <x v="1"/>
    <x v="1"/>
    <x v="1"/>
    <x v="0"/>
    <x v="2"/>
    <n v="73"/>
    <n v="1.4873000000000001"/>
    <n v="0.5444"/>
    <n v="1.8867"/>
    <n v="0.495"/>
  </r>
  <r>
    <x v="0"/>
    <x v="1"/>
    <x v="2"/>
    <x v="0"/>
    <x v="0"/>
    <x v="1"/>
    <x v="3"/>
    <n v="137"/>
    <n v="0.21740000000000001"/>
    <n v="0.93600000000000005"/>
    <n v="2.4964"/>
    <n v="0.4945"/>
  </r>
  <r>
    <x v="0"/>
    <x v="0"/>
    <x v="2"/>
    <x v="1"/>
    <x v="0"/>
    <x v="1"/>
    <x v="4"/>
    <n v="277"/>
    <n v="0.4405"/>
    <n v="0.86709999999999998"/>
    <n v="2.0861999999999998"/>
    <n v="0.49399999999999999"/>
  </r>
  <r>
    <x v="0"/>
    <x v="2"/>
    <x v="1"/>
    <x v="1"/>
    <x v="1"/>
    <x v="1"/>
    <x v="2"/>
    <n v="68"/>
    <n v="0.65229999999999999"/>
    <n v="0.80959999999999999"/>
    <n v="2.0718000000000001"/>
    <n v="0.49349999999999999"/>
  </r>
  <r>
    <x v="0"/>
    <x v="1"/>
    <x v="1"/>
    <x v="1"/>
    <x v="0"/>
    <x v="1"/>
    <x v="2"/>
    <n v="65"/>
    <n v="0.32450000000000001"/>
    <n v="0.90810000000000002"/>
    <n v="2.4165999999999999"/>
    <n v="0.49199999999999999"/>
  </r>
  <r>
    <x v="0"/>
    <x v="1"/>
    <x v="2"/>
    <x v="0"/>
    <x v="0"/>
    <x v="1"/>
    <x v="4"/>
    <n v="138"/>
    <n v="0.1938"/>
    <n v="0.94230000000000003"/>
    <n v="2.516"/>
    <n v="0.48899999999999999"/>
  </r>
  <r>
    <x v="0"/>
    <x v="1"/>
    <x v="1"/>
    <x v="1"/>
    <x v="0"/>
    <x v="1"/>
    <x v="1"/>
    <n v="65"/>
    <n v="0.22750000000000001"/>
    <n v="0.93530000000000002"/>
    <n v="2.4622000000000002"/>
    <n v="0.48899999999999999"/>
  </r>
  <r>
    <x v="0"/>
    <x v="0"/>
    <x v="1"/>
    <x v="0"/>
    <x v="1"/>
    <x v="0"/>
    <x v="5"/>
    <n v="41"/>
    <n v="1.5713999999999999"/>
    <n v="0.51649999999999996"/>
    <n v="1.8545"/>
    <n v="0.48799999999999999"/>
  </r>
  <r>
    <x v="0"/>
    <x v="1"/>
    <x v="0"/>
    <x v="1"/>
    <x v="0"/>
    <x v="1"/>
    <x v="5"/>
    <n v="137"/>
    <n v="0.36530000000000001"/>
    <n v="0.89419999999999999"/>
    <n v="2.2130000000000001"/>
    <n v="0.48599999999999999"/>
  </r>
  <r>
    <x v="0"/>
    <x v="1"/>
    <x v="1"/>
    <x v="1"/>
    <x v="0"/>
    <x v="1"/>
    <x v="0"/>
    <n v="65"/>
    <n v="0.27960000000000002"/>
    <n v="0.9224"/>
    <n v="2.4243000000000001"/>
    <n v="0.48499999999999999"/>
  </r>
  <r>
    <x v="0"/>
    <x v="1"/>
    <x v="1"/>
    <x v="1"/>
    <x v="0"/>
    <x v="1"/>
    <x v="5"/>
    <n v="65"/>
    <n v="0.36449999999999999"/>
    <n v="0.89539999999999997"/>
    <n v="2.2812999999999999"/>
    <n v="0.48449999999999999"/>
  </r>
  <r>
    <x v="0"/>
    <x v="1"/>
    <x v="1"/>
    <x v="1"/>
    <x v="0"/>
    <x v="1"/>
    <x v="3"/>
    <n v="65"/>
    <n v="0.27860000000000001"/>
    <n v="0.92069999999999996"/>
    <n v="2.4975000000000001"/>
    <n v="0.4714999999999999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642">
  <r>
    <x v="0"/>
    <x v="0"/>
    <x v="0"/>
    <b v="0"/>
    <x v="0"/>
    <x v="0"/>
    <x v="0"/>
    <n v="73"/>
    <n v="1.0187999999999999"/>
    <n v="0.69730000000000003"/>
    <n v="1.6406000000000001"/>
    <n v="0.56850000000000001"/>
  </r>
  <r>
    <x v="0"/>
    <x v="0"/>
    <x v="1"/>
    <b v="0"/>
    <x v="0"/>
    <x v="0"/>
    <x v="1"/>
    <n v="48"/>
    <n v="0.86990000000000001"/>
    <n v="0.74739999999999995"/>
    <n v="1.6950000000000001"/>
    <n v="0.56799999999999995"/>
  </r>
  <r>
    <x v="0"/>
    <x v="0"/>
    <x v="0"/>
    <b v="0"/>
    <x v="1"/>
    <x v="0"/>
    <x v="1"/>
    <n v="75"/>
    <n v="1.1315"/>
    <n v="0.65759999999999996"/>
    <n v="1.6637"/>
    <n v="0.56699999999999995"/>
  </r>
  <r>
    <x v="0"/>
    <x v="1"/>
    <x v="2"/>
    <b v="1"/>
    <x v="0"/>
    <x v="0"/>
    <x v="2"/>
    <n v="282"/>
    <n v="0.76839999999999997"/>
    <n v="0.76839999999999997"/>
    <n v="1.6969000000000001"/>
    <n v="0.56699999999999995"/>
  </r>
  <r>
    <x v="0"/>
    <x v="2"/>
    <x v="1"/>
    <b v="0"/>
    <x v="1"/>
    <x v="0"/>
    <x v="1"/>
    <n v="41"/>
    <n v="1.0868"/>
    <n v="0.67749999999999999"/>
    <n v="1.7091000000000001"/>
    <n v="0.5635"/>
  </r>
  <r>
    <x v="0"/>
    <x v="2"/>
    <x v="0"/>
    <b v="0"/>
    <x v="0"/>
    <x v="0"/>
    <x v="2"/>
    <n v="73"/>
    <n v="0.93379999999999996"/>
    <n v="0.7248"/>
    <n v="1.6236999999999999"/>
    <n v="0.56299999999999994"/>
  </r>
  <r>
    <x v="0"/>
    <x v="2"/>
    <x v="0"/>
    <b v="0"/>
    <x v="1"/>
    <x v="0"/>
    <x v="1"/>
    <n v="70"/>
    <n v="0.97889999999999999"/>
    <n v="0.71160000000000001"/>
    <n v="1.7085999999999999"/>
    <n v="0.56100000000000005"/>
  </r>
  <r>
    <x v="0"/>
    <x v="2"/>
    <x v="0"/>
    <b v="0"/>
    <x v="0"/>
    <x v="0"/>
    <x v="0"/>
    <n v="73"/>
    <n v="0.86319999999999997"/>
    <n v="0.748"/>
    <n v="1.659"/>
    <n v="0.5605"/>
  </r>
  <r>
    <x v="0"/>
    <x v="1"/>
    <x v="2"/>
    <b v="0"/>
    <x v="1"/>
    <x v="0"/>
    <x v="3"/>
    <n v="150"/>
    <n v="1.0213000000000001"/>
    <n v="0.69410000000000005"/>
    <n v="1.6809000000000001"/>
    <n v="0.56000000000000005"/>
  </r>
  <r>
    <x v="0"/>
    <x v="1"/>
    <x v="1"/>
    <b v="0"/>
    <x v="0"/>
    <x v="0"/>
    <x v="4"/>
    <n v="47"/>
    <n v="0.66339999999999999"/>
    <n v="0.80600000000000005"/>
    <n v="1.8407"/>
    <n v="0.5595"/>
  </r>
  <r>
    <x v="0"/>
    <x v="2"/>
    <x v="2"/>
    <b v="0"/>
    <x v="0"/>
    <x v="0"/>
    <x v="1"/>
    <n v="146"/>
    <n v="0.72060000000000002"/>
    <n v="0.78749999999999998"/>
    <n v="1.6993"/>
    <n v="0.55900000000000005"/>
  </r>
  <r>
    <x v="0"/>
    <x v="0"/>
    <x v="1"/>
    <b v="0"/>
    <x v="0"/>
    <x v="0"/>
    <x v="3"/>
    <n v="49"/>
    <n v="0.97230000000000005"/>
    <n v="0.71260000000000001"/>
    <n v="1.7457"/>
    <n v="0.55800000000000005"/>
  </r>
  <r>
    <x v="0"/>
    <x v="0"/>
    <x v="2"/>
    <b v="0"/>
    <x v="0"/>
    <x v="0"/>
    <x v="4"/>
    <n v="139"/>
    <n v="0.92600000000000005"/>
    <n v="0.72460000000000002"/>
    <n v="1.6722999999999999"/>
    <n v="0.5575"/>
  </r>
  <r>
    <x v="0"/>
    <x v="2"/>
    <x v="2"/>
    <b v="0"/>
    <x v="0"/>
    <x v="0"/>
    <x v="0"/>
    <n v="140"/>
    <n v="0.90449999999999997"/>
    <n v="0.72709999999999997"/>
    <n v="1.6526000000000001"/>
    <n v="0.55700000000000005"/>
  </r>
  <r>
    <x v="0"/>
    <x v="0"/>
    <x v="1"/>
    <b v="0"/>
    <x v="0"/>
    <x v="0"/>
    <x v="2"/>
    <n v="49"/>
    <n v="1.1114999999999999"/>
    <n v="0.67330000000000001"/>
    <n v="1.6641999999999999"/>
    <n v="0.55600000000000005"/>
  </r>
  <r>
    <x v="0"/>
    <x v="0"/>
    <x v="0"/>
    <b v="0"/>
    <x v="0"/>
    <x v="0"/>
    <x v="4"/>
    <n v="74"/>
    <n v="0.89380000000000004"/>
    <n v="0.73280000000000001"/>
    <n v="1.6259999999999999"/>
    <n v="0.55600000000000005"/>
  </r>
  <r>
    <x v="0"/>
    <x v="1"/>
    <x v="0"/>
    <b v="0"/>
    <x v="0"/>
    <x v="0"/>
    <x v="0"/>
    <n v="72"/>
    <n v="0.76759999999999995"/>
    <n v="0.77159999999999995"/>
    <n v="1.7309000000000001"/>
    <n v="0.55549999999999999"/>
  </r>
  <r>
    <x v="0"/>
    <x v="2"/>
    <x v="1"/>
    <b v="0"/>
    <x v="1"/>
    <x v="0"/>
    <x v="4"/>
    <n v="41"/>
    <n v="1.1672"/>
    <n v="0.65410000000000001"/>
    <n v="1.7074"/>
    <n v="0.55500000000000005"/>
  </r>
  <r>
    <x v="0"/>
    <x v="0"/>
    <x v="2"/>
    <b v="0"/>
    <x v="1"/>
    <x v="1"/>
    <x v="1"/>
    <n v="145"/>
    <n v="0.36969999999999997"/>
    <n v="0.89159999999999995"/>
    <n v="2.0588000000000002"/>
    <n v="0.55449999999999999"/>
  </r>
  <r>
    <x v="0"/>
    <x v="0"/>
    <x v="2"/>
    <b v="0"/>
    <x v="1"/>
    <x v="0"/>
    <x v="1"/>
    <n v="149"/>
    <n v="1.1086"/>
    <n v="0.67349999999999999"/>
    <n v="1.6700999999999999"/>
    <n v="0.55449999999999999"/>
  </r>
  <r>
    <x v="0"/>
    <x v="1"/>
    <x v="0"/>
    <b v="0"/>
    <x v="0"/>
    <x v="0"/>
    <x v="5"/>
    <n v="72"/>
    <n v="0.92149999999999999"/>
    <n v="0.72860000000000003"/>
    <n v="1.6588000000000001"/>
    <n v="0.55449999999999999"/>
  </r>
  <r>
    <x v="0"/>
    <x v="2"/>
    <x v="2"/>
    <b v="0"/>
    <x v="1"/>
    <x v="1"/>
    <x v="3"/>
    <n v="143"/>
    <n v="0.31209999999999999"/>
    <n v="0.91049999999999998"/>
    <n v="2.0070000000000001"/>
    <n v="0.55400000000000005"/>
  </r>
  <r>
    <x v="0"/>
    <x v="0"/>
    <x v="0"/>
    <b v="0"/>
    <x v="0"/>
    <x v="0"/>
    <x v="3"/>
    <n v="74"/>
    <n v="0.94399999999999995"/>
    <n v="0.71989999999999998"/>
    <n v="1.6692"/>
    <n v="0.55400000000000005"/>
  </r>
  <r>
    <x v="0"/>
    <x v="0"/>
    <x v="2"/>
    <b v="0"/>
    <x v="0"/>
    <x v="0"/>
    <x v="1"/>
    <n v="140"/>
    <n v="0.87450000000000006"/>
    <n v="0.74339999999999995"/>
    <n v="1.6587000000000001"/>
    <n v="0.55349999999999999"/>
  </r>
  <r>
    <x v="0"/>
    <x v="1"/>
    <x v="2"/>
    <b v="0"/>
    <x v="1"/>
    <x v="0"/>
    <x v="4"/>
    <n v="151"/>
    <n v="0.94889999999999997"/>
    <n v="0.71860000000000002"/>
    <n v="1.6898"/>
    <n v="0.55349999999999999"/>
  </r>
  <r>
    <x v="0"/>
    <x v="0"/>
    <x v="1"/>
    <b v="0"/>
    <x v="0"/>
    <x v="0"/>
    <x v="0"/>
    <n v="48"/>
    <n v="1.0358000000000001"/>
    <n v="0.69750000000000001"/>
    <n v="1.7296"/>
    <n v="0.55349999999999999"/>
  </r>
  <r>
    <x v="0"/>
    <x v="2"/>
    <x v="2"/>
    <b v="0"/>
    <x v="1"/>
    <x v="0"/>
    <x v="0"/>
    <n v="149"/>
    <n v="1.2101999999999999"/>
    <n v="0.63739999999999997"/>
    <n v="1.6997"/>
    <n v="0.55249999999999999"/>
  </r>
  <r>
    <x v="0"/>
    <x v="1"/>
    <x v="2"/>
    <b v="1"/>
    <x v="0"/>
    <x v="0"/>
    <x v="0"/>
    <n v="284"/>
    <n v="0.70089999999999997"/>
    <n v="0.7923"/>
    <n v="1.7456"/>
    <n v="0.55200000000000005"/>
  </r>
  <r>
    <x v="0"/>
    <x v="2"/>
    <x v="0"/>
    <b v="0"/>
    <x v="1"/>
    <x v="0"/>
    <x v="4"/>
    <n v="70"/>
    <n v="1.0637000000000001"/>
    <n v="0.68479999999999996"/>
    <n v="1.7354000000000001"/>
    <n v="0.55149999999999999"/>
  </r>
  <r>
    <x v="0"/>
    <x v="2"/>
    <x v="2"/>
    <b v="0"/>
    <x v="0"/>
    <x v="0"/>
    <x v="3"/>
    <n v="141"/>
    <n v="0.83320000000000005"/>
    <n v="0.75060000000000004"/>
    <n v="1.7496"/>
    <n v="0.55100000000000005"/>
  </r>
  <r>
    <x v="0"/>
    <x v="2"/>
    <x v="2"/>
    <b v="0"/>
    <x v="0"/>
    <x v="0"/>
    <x v="4"/>
    <n v="145"/>
    <n v="0.75900000000000001"/>
    <n v="0.77410000000000001"/>
    <n v="1.7276"/>
    <n v="0.55100000000000005"/>
  </r>
  <r>
    <x v="0"/>
    <x v="0"/>
    <x v="0"/>
    <b v="1"/>
    <x v="0"/>
    <x v="0"/>
    <x v="1"/>
    <n v="141"/>
    <n v="0.93120000000000003"/>
    <n v="0.7248"/>
    <n v="1.7193000000000001"/>
    <n v="0.55049999999999999"/>
  </r>
  <r>
    <x v="0"/>
    <x v="2"/>
    <x v="2"/>
    <b v="0"/>
    <x v="1"/>
    <x v="0"/>
    <x v="3"/>
    <n v="150"/>
    <n v="1.1345000000000001"/>
    <n v="0.6623"/>
    <n v="1.6973"/>
    <n v="0.55049999999999999"/>
  </r>
  <r>
    <x v="0"/>
    <x v="0"/>
    <x v="0"/>
    <b v="0"/>
    <x v="0"/>
    <x v="0"/>
    <x v="2"/>
    <n v="74"/>
    <n v="1.0992999999999999"/>
    <n v="0.67569999999999997"/>
    <n v="1.7084999999999999"/>
    <n v="0.55000000000000004"/>
  </r>
  <r>
    <x v="0"/>
    <x v="1"/>
    <x v="1"/>
    <b v="0"/>
    <x v="0"/>
    <x v="0"/>
    <x v="2"/>
    <n v="47"/>
    <n v="0.8589"/>
    <n v="0.753"/>
    <n v="1.7806999999999999"/>
    <n v="0.54949999999999999"/>
  </r>
  <r>
    <x v="0"/>
    <x v="2"/>
    <x v="2"/>
    <b v="0"/>
    <x v="1"/>
    <x v="0"/>
    <x v="1"/>
    <n v="150"/>
    <n v="1.0142"/>
    <n v="0.69699999999999995"/>
    <n v="1.7495000000000001"/>
    <n v="0.54949999999999999"/>
  </r>
  <r>
    <x v="0"/>
    <x v="1"/>
    <x v="2"/>
    <b v="0"/>
    <x v="0"/>
    <x v="0"/>
    <x v="4"/>
    <n v="141"/>
    <n v="0.71250000000000002"/>
    <n v="0.79059999999999997"/>
    <n v="1.7587999999999999"/>
    <n v="0.54949999999999999"/>
  </r>
  <r>
    <x v="0"/>
    <x v="0"/>
    <x v="2"/>
    <b v="1"/>
    <x v="0"/>
    <x v="0"/>
    <x v="4"/>
    <n v="285"/>
    <n v="0.93169999999999997"/>
    <n v="0.72250000000000003"/>
    <n v="1.7253000000000001"/>
    <n v="0.54949999999999999"/>
  </r>
  <r>
    <x v="0"/>
    <x v="0"/>
    <x v="0"/>
    <b v="0"/>
    <x v="0"/>
    <x v="0"/>
    <x v="1"/>
    <n v="74"/>
    <n v="0.84350000000000003"/>
    <n v="0.75039999999999996"/>
    <n v="1.6895"/>
    <n v="0.54900000000000004"/>
  </r>
  <r>
    <x v="0"/>
    <x v="1"/>
    <x v="1"/>
    <b v="0"/>
    <x v="1"/>
    <x v="0"/>
    <x v="4"/>
    <n v="41"/>
    <n v="1.0101"/>
    <n v="0.70960000000000001"/>
    <n v="1.7683"/>
    <n v="0.54800000000000004"/>
  </r>
  <r>
    <x v="0"/>
    <x v="1"/>
    <x v="0"/>
    <b v="0"/>
    <x v="0"/>
    <x v="0"/>
    <x v="4"/>
    <n v="81"/>
    <n v="0.63580000000000003"/>
    <n v="0.81640000000000001"/>
    <n v="1.8126"/>
    <n v="0.54800000000000004"/>
  </r>
  <r>
    <x v="0"/>
    <x v="2"/>
    <x v="1"/>
    <b v="0"/>
    <x v="0"/>
    <x v="0"/>
    <x v="2"/>
    <n v="41"/>
    <n v="0.97819999999999996"/>
    <n v="0.71650000000000003"/>
    <n v="1.7496"/>
    <n v="0.54800000000000004"/>
  </r>
  <r>
    <x v="0"/>
    <x v="0"/>
    <x v="2"/>
    <b v="0"/>
    <x v="0"/>
    <x v="1"/>
    <x v="0"/>
    <n v="167"/>
    <n v="0.4446"/>
    <n v="0.87139999999999995"/>
    <n v="1.9645999999999999"/>
    <n v="0.54749999999999999"/>
  </r>
  <r>
    <x v="0"/>
    <x v="1"/>
    <x v="2"/>
    <b v="1"/>
    <x v="0"/>
    <x v="0"/>
    <x v="5"/>
    <n v="282"/>
    <n v="0.84950000000000003"/>
    <n v="0.74399999999999999"/>
    <n v="1.663"/>
    <n v="0.54749999999999999"/>
  </r>
  <r>
    <x v="0"/>
    <x v="2"/>
    <x v="0"/>
    <b v="0"/>
    <x v="1"/>
    <x v="0"/>
    <x v="3"/>
    <n v="70"/>
    <n v="1.1355"/>
    <n v="0.66659999999999997"/>
    <n v="1.6813"/>
    <n v="0.54749999999999999"/>
  </r>
  <r>
    <x v="0"/>
    <x v="2"/>
    <x v="2"/>
    <b v="0"/>
    <x v="1"/>
    <x v="1"/>
    <x v="0"/>
    <n v="159"/>
    <n v="0.34329999999999999"/>
    <n v="0.90010000000000001"/>
    <n v="2.0301"/>
    <n v="0.54700000000000004"/>
  </r>
  <r>
    <x v="0"/>
    <x v="1"/>
    <x v="1"/>
    <b v="0"/>
    <x v="1"/>
    <x v="0"/>
    <x v="1"/>
    <n v="41"/>
    <n v="0.9345"/>
    <n v="0.72770000000000001"/>
    <n v="1.7784"/>
    <n v="0.54700000000000004"/>
  </r>
  <r>
    <x v="0"/>
    <x v="0"/>
    <x v="1"/>
    <b v="0"/>
    <x v="0"/>
    <x v="0"/>
    <x v="4"/>
    <n v="49"/>
    <n v="0.94140000000000001"/>
    <n v="0.7208"/>
    <n v="1.7186999999999999"/>
    <n v="0.54700000000000004"/>
  </r>
  <r>
    <x v="0"/>
    <x v="2"/>
    <x v="0"/>
    <b v="1"/>
    <x v="1"/>
    <x v="0"/>
    <x v="4"/>
    <n v="142"/>
    <n v="0.98580000000000001"/>
    <n v="0.71"/>
    <n v="1.7369000000000001"/>
    <n v="0.54649999999999999"/>
  </r>
  <r>
    <x v="0"/>
    <x v="2"/>
    <x v="0"/>
    <b v="0"/>
    <x v="0"/>
    <x v="0"/>
    <x v="3"/>
    <n v="73"/>
    <n v="0.80010000000000003"/>
    <n v="0.76739999999999997"/>
    <n v="1.6688000000000001"/>
    <n v="0.54649999999999999"/>
  </r>
  <r>
    <x v="0"/>
    <x v="0"/>
    <x v="0"/>
    <b v="1"/>
    <x v="0"/>
    <x v="0"/>
    <x v="4"/>
    <n v="141"/>
    <n v="0.95"/>
    <n v="0.71489999999999998"/>
    <n v="1.7553000000000001"/>
    <n v="0.54649999999999999"/>
  </r>
  <r>
    <x v="0"/>
    <x v="0"/>
    <x v="0"/>
    <b v="0"/>
    <x v="1"/>
    <x v="0"/>
    <x v="3"/>
    <n v="76"/>
    <n v="1.2531000000000001"/>
    <n v="0.62260000000000004"/>
    <n v="1.7078"/>
    <n v="0.54649999999999999"/>
  </r>
  <r>
    <x v="0"/>
    <x v="0"/>
    <x v="2"/>
    <b v="0"/>
    <x v="1"/>
    <x v="1"/>
    <x v="0"/>
    <n v="170"/>
    <n v="0.50600000000000001"/>
    <n v="0.85160000000000002"/>
    <n v="1.8237000000000001"/>
    <n v="0.54600000000000004"/>
  </r>
  <r>
    <x v="0"/>
    <x v="1"/>
    <x v="2"/>
    <b v="1"/>
    <x v="1"/>
    <x v="0"/>
    <x v="2"/>
    <n v="290"/>
    <n v="1.0274000000000001"/>
    <n v="0.69740000000000002"/>
    <n v="1.7354000000000001"/>
    <n v="0.54600000000000004"/>
  </r>
  <r>
    <x v="0"/>
    <x v="2"/>
    <x v="1"/>
    <b v="0"/>
    <x v="1"/>
    <x v="0"/>
    <x v="3"/>
    <n v="41"/>
    <n v="1.232"/>
    <n v="0.63049999999999995"/>
    <n v="1.7787999999999999"/>
    <n v="0.54600000000000004"/>
  </r>
  <r>
    <x v="0"/>
    <x v="2"/>
    <x v="0"/>
    <b v="1"/>
    <x v="0"/>
    <x v="0"/>
    <x v="5"/>
    <n v="141"/>
    <n v="0.93899999999999995"/>
    <n v="0.72119999999999995"/>
    <n v="1.71"/>
    <n v="0.54600000000000004"/>
  </r>
  <r>
    <x v="0"/>
    <x v="2"/>
    <x v="0"/>
    <b v="0"/>
    <x v="0"/>
    <x v="0"/>
    <x v="4"/>
    <n v="74"/>
    <n v="0.7248"/>
    <n v="0.78690000000000004"/>
    <n v="1.6897"/>
    <n v="0.54600000000000004"/>
  </r>
  <r>
    <x v="0"/>
    <x v="1"/>
    <x v="2"/>
    <b v="0"/>
    <x v="1"/>
    <x v="0"/>
    <x v="0"/>
    <n v="149"/>
    <n v="1.0915999999999999"/>
    <n v="0.67449999999999999"/>
    <n v="1.6832"/>
    <n v="0.54500000000000004"/>
  </r>
  <r>
    <x v="0"/>
    <x v="2"/>
    <x v="1"/>
    <b v="1"/>
    <x v="1"/>
    <x v="0"/>
    <x v="4"/>
    <n v="72"/>
    <n v="1.0819000000000001"/>
    <n v="0.68110000000000004"/>
    <n v="1.7682"/>
    <n v="0.54500000000000004"/>
  </r>
  <r>
    <x v="0"/>
    <x v="0"/>
    <x v="2"/>
    <b v="1"/>
    <x v="0"/>
    <x v="1"/>
    <x v="3"/>
    <n v="279"/>
    <n v="0.48320000000000002"/>
    <n v="0.85740000000000005"/>
    <n v="1.9979"/>
    <n v="0.54449999999999998"/>
  </r>
  <r>
    <x v="0"/>
    <x v="0"/>
    <x v="0"/>
    <b v="0"/>
    <x v="1"/>
    <x v="1"/>
    <x v="4"/>
    <n v="76"/>
    <n v="0.41160000000000002"/>
    <n v="0.87960000000000005"/>
    <n v="2.0587"/>
    <n v="0.54449999999999998"/>
  </r>
  <r>
    <x v="0"/>
    <x v="2"/>
    <x v="1"/>
    <b v="0"/>
    <x v="0"/>
    <x v="0"/>
    <x v="1"/>
    <n v="41"/>
    <n v="0.67530000000000001"/>
    <n v="0.80820000000000003"/>
    <n v="1.8427"/>
    <n v="0.54449999999999998"/>
  </r>
  <r>
    <x v="0"/>
    <x v="1"/>
    <x v="0"/>
    <b v="0"/>
    <x v="1"/>
    <x v="0"/>
    <x v="4"/>
    <n v="73"/>
    <n v="0.90580000000000005"/>
    <n v="0.74009999999999998"/>
    <n v="1.7574000000000001"/>
    <n v="0.54400000000000004"/>
  </r>
  <r>
    <x v="0"/>
    <x v="1"/>
    <x v="2"/>
    <b v="0"/>
    <x v="1"/>
    <x v="0"/>
    <x v="2"/>
    <n v="149"/>
    <n v="1.1805000000000001"/>
    <n v="0.64790000000000003"/>
    <n v="1.7206999999999999"/>
    <n v="0.54400000000000004"/>
  </r>
  <r>
    <x v="0"/>
    <x v="2"/>
    <x v="2"/>
    <b v="0"/>
    <x v="1"/>
    <x v="0"/>
    <x v="4"/>
    <n v="154"/>
    <n v="1.0762"/>
    <n v="0.68359999999999999"/>
    <n v="1.6819"/>
    <n v="0.54400000000000004"/>
  </r>
  <r>
    <x v="0"/>
    <x v="0"/>
    <x v="1"/>
    <b v="1"/>
    <x v="0"/>
    <x v="0"/>
    <x v="4"/>
    <n v="74"/>
    <n v="0.9768"/>
    <n v="0.70920000000000005"/>
    <n v="1.7778"/>
    <n v="0.54349999999999998"/>
  </r>
  <r>
    <x v="0"/>
    <x v="1"/>
    <x v="2"/>
    <b v="0"/>
    <x v="1"/>
    <x v="1"/>
    <x v="2"/>
    <n v="165"/>
    <n v="0.3553"/>
    <n v="0.89810000000000001"/>
    <n v="2.0733000000000001"/>
    <n v="0.54300000000000004"/>
  </r>
  <r>
    <x v="0"/>
    <x v="0"/>
    <x v="1"/>
    <b v="0"/>
    <x v="0"/>
    <x v="1"/>
    <x v="0"/>
    <n v="50"/>
    <n v="0.4108"/>
    <n v="0.88560000000000005"/>
    <n v="2.0758000000000001"/>
    <n v="0.54249999999999998"/>
  </r>
  <r>
    <x v="0"/>
    <x v="1"/>
    <x v="2"/>
    <b v="0"/>
    <x v="1"/>
    <x v="0"/>
    <x v="1"/>
    <n v="150"/>
    <n v="0.89349999999999996"/>
    <n v="0.73709999999999998"/>
    <n v="1.7537"/>
    <n v="0.54249999999999998"/>
  </r>
  <r>
    <x v="0"/>
    <x v="2"/>
    <x v="2"/>
    <b v="1"/>
    <x v="1"/>
    <x v="0"/>
    <x v="1"/>
    <n v="312"/>
    <n v="0.89370000000000005"/>
    <n v="0.73480000000000001"/>
    <n v="1.7844"/>
    <n v="0.54249999999999998"/>
  </r>
  <r>
    <x v="0"/>
    <x v="0"/>
    <x v="2"/>
    <b v="0"/>
    <x v="0"/>
    <x v="0"/>
    <x v="5"/>
    <n v="141"/>
    <n v="1.2199"/>
    <n v="0.64100000000000001"/>
    <n v="1.6886000000000001"/>
    <n v="0.54249999999999998"/>
  </r>
  <r>
    <x v="0"/>
    <x v="2"/>
    <x v="2"/>
    <b v="0"/>
    <x v="0"/>
    <x v="1"/>
    <x v="0"/>
    <n v="141"/>
    <n v="0.29499999999999998"/>
    <n v="0.91659999999999997"/>
    <n v="2.169"/>
    <n v="0.54200000000000004"/>
  </r>
  <r>
    <x v="0"/>
    <x v="2"/>
    <x v="1"/>
    <b v="0"/>
    <x v="0"/>
    <x v="0"/>
    <x v="3"/>
    <n v="41"/>
    <n v="0.82010000000000005"/>
    <n v="0.76390000000000002"/>
    <n v="1.7557"/>
    <n v="0.54200000000000004"/>
  </r>
  <r>
    <x v="0"/>
    <x v="2"/>
    <x v="0"/>
    <b v="1"/>
    <x v="1"/>
    <x v="0"/>
    <x v="1"/>
    <n v="142"/>
    <n v="0.94310000000000005"/>
    <n v="0.71830000000000005"/>
    <n v="1.7458"/>
    <n v="0.54200000000000004"/>
  </r>
  <r>
    <x v="0"/>
    <x v="2"/>
    <x v="0"/>
    <b v="1"/>
    <x v="0"/>
    <x v="0"/>
    <x v="2"/>
    <n v="142"/>
    <n v="0.86350000000000005"/>
    <n v="0.73799999999999999"/>
    <n v="1.7867999999999999"/>
    <n v="0.54200000000000004"/>
  </r>
  <r>
    <x v="0"/>
    <x v="2"/>
    <x v="0"/>
    <b v="0"/>
    <x v="0"/>
    <x v="0"/>
    <x v="1"/>
    <n v="73"/>
    <n v="0.67869999999999997"/>
    <n v="0.7974"/>
    <n v="1.7412000000000001"/>
    <n v="0.54149999999999998"/>
  </r>
  <r>
    <x v="0"/>
    <x v="2"/>
    <x v="0"/>
    <b v="1"/>
    <x v="1"/>
    <x v="0"/>
    <x v="3"/>
    <n v="141"/>
    <n v="1.0466"/>
    <n v="0.6925"/>
    <n v="1.7482"/>
    <n v="0.54149999999999998"/>
  </r>
  <r>
    <x v="0"/>
    <x v="2"/>
    <x v="2"/>
    <b v="0"/>
    <x v="0"/>
    <x v="0"/>
    <x v="2"/>
    <n v="143"/>
    <n v="0.97889999999999999"/>
    <n v="0.71160000000000001"/>
    <n v="1.7014"/>
    <n v="0.54149999999999998"/>
  </r>
  <r>
    <x v="0"/>
    <x v="0"/>
    <x v="0"/>
    <b v="0"/>
    <x v="1"/>
    <x v="0"/>
    <x v="4"/>
    <n v="76"/>
    <n v="1.1873"/>
    <n v="0.64539999999999997"/>
    <n v="1.6889000000000001"/>
    <n v="0.54149999999999998"/>
  </r>
  <r>
    <x v="0"/>
    <x v="0"/>
    <x v="0"/>
    <b v="0"/>
    <x v="1"/>
    <x v="1"/>
    <x v="3"/>
    <n v="76"/>
    <n v="0.44400000000000001"/>
    <n v="0.874"/>
    <n v="2.0215999999999998"/>
    <n v="0.54100000000000004"/>
  </r>
  <r>
    <x v="0"/>
    <x v="2"/>
    <x v="0"/>
    <b v="1"/>
    <x v="0"/>
    <x v="0"/>
    <x v="3"/>
    <n v="141"/>
    <n v="0.75119999999999998"/>
    <n v="0.78159999999999996"/>
    <n v="1.8272999999999999"/>
    <n v="0.54100000000000004"/>
  </r>
  <r>
    <x v="0"/>
    <x v="0"/>
    <x v="2"/>
    <b v="0"/>
    <x v="1"/>
    <x v="0"/>
    <x v="4"/>
    <n v="173"/>
    <n v="1.1756"/>
    <n v="0.65"/>
    <n v="1.7112000000000001"/>
    <n v="0.54100000000000004"/>
  </r>
  <r>
    <x v="0"/>
    <x v="2"/>
    <x v="0"/>
    <b v="0"/>
    <x v="0"/>
    <x v="1"/>
    <x v="3"/>
    <n v="74"/>
    <n v="0.26869999999999999"/>
    <n v="0.92330000000000001"/>
    <n v="2.2252999999999998"/>
    <n v="0.54049999999999998"/>
  </r>
  <r>
    <x v="0"/>
    <x v="0"/>
    <x v="1"/>
    <b v="0"/>
    <x v="1"/>
    <x v="0"/>
    <x v="1"/>
    <n v="41"/>
    <n v="1.2191000000000001"/>
    <n v="0.63749999999999996"/>
    <n v="1.7262"/>
    <n v="0.54049999999999998"/>
  </r>
  <r>
    <x v="0"/>
    <x v="0"/>
    <x v="2"/>
    <b v="0"/>
    <x v="0"/>
    <x v="1"/>
    <x v="1"/>
    <n v="142"/>
    <n v="0.30719999999999997"/>
    <n v="0.91049999999999998"/>
    <n v="2.0409999999999999"/>
    <n v="0.54"/>
  </r>
  <r>
    <x v="0"/>
    <x v="2"/>
    <x v="2"/>
    <b v="1"/>
    <x v="0"/>
    <x v="0"/>
    <x v="4"/>
    <n v="287"/>
    <n v="0.7601"/>
    <n v="0.77380000000000004"/>
    <n v="1.8070999999999999"/>
    <n v="0.54"/>
  </r>
  <r>
    <x v="0"/>
    <x v="0"/>
    <x v="1"/>
    <b v="0"/>
    <x v="0"/>
    <x v="1"/>
    <x v="3"/>
    <n v="51"/>
    <n v="0.36099999999999999"/>
    <n v="0.89739999999999998"/>
    <n v="2.1248"/>
    <n v="0.53949999999999998"/>
  </r>
  <r>
    <x v="0"/>
    <x v="2"/>
    <x v="2"/>
    <b v="1"/>
    <x v="0"/>
    <x v="0"/>
    <x v="3"/>
    <n v="286"/>
    <n v="0.8417"/>
    <n v="0.74209999999999998"/>
    <n v="1.7591000000000001"/>
    <n v="0.53949999999999998"/>
  </r>
  <r>
    <x v="0"/>
    <x v="0"/>
    <x v="0"/>
    <b v="1"/>
    <x v="0"/>
    <x v="0"/>
    <x v="2"/>
    <n v="141"/>
    <n v="1.1132"/>
    <n v="0.6663"/>
    <n v="1.6788000000000001"/>
    <n v="0.53949999999999998"/>
  </r>
  <r>
    <x v="0"/>
    <x v="0"/>
    <x v="2"/>
    <b v="0"/>
    <x v="0"/>
    <x v="0"/>
    <x v="3"/>
    <n v="139"/>
    <n v="1.0162"/>
    <n v="0.70199999999999996"/>
    <n v="1.7031000000000001"/>
    <n v="0.53949999999999998"/>
  </r>
  <r>
    <x v="0"/>
    <x v="0"/>
    <x v="2"/>
    <b v="0"/>
    <x v="1"/>
    <x v="0"/>
    <x v="2"/>
    <n v="174"/>
    <n v="1.3842000000000001"/>
    <n v="0.58340000000000003"/>
    <n v="1.7192000000000001"/>
    <n v="0.53949999999999998"/>
  </r>
  <r>
    <x v="0"/>
    <x v="0"/>
    <x v="0"/>
    <b v="0"/>
    <x v="1"/>
    <x v="1"/>
    <x v="1"/>
    <n v="76"/>
    <n v="0.38040000000000002"/>
    <n v="0.88959999999999995"/>
    <n v="2.08"/>
    <n v="0.53900000000000003"/>
  </r>
  <r>
    <x v="0"/>
    <x v="1"/>
    <x v="1"/>
    <b v="0"/>
    <x v="1"/>
    <x v="0"/>
    <x v="0"/>
    <n v="42"/>
    <n v="1.1747000000000001"/>
    <n v="0.66239999999999999"/>
    <n v="1.7428999999999999"/>
    <n v="0.53900000000000003"/>
  </r>
  <r>
    <x v="0"/>
    <x v="2"/>
    <x v="1"/>
    <b v="1"/>
    <x v="0"/>
    <x v="0"/>
    <x v="4"/>
    <n v="73"/>
    <n v="0.73740000000000006"/>
    <n v="0.78349999999999997"/>
    <n v="1.8317000000000001"/>
    <n v="0.53900000000000003"/>
  </r>
  <r>
    <x v="0"/>
    <x v="0"/>
    <x v="2"/>
    <b v="1"/>
    <x v="0"/>
    <x v="0"/>
    <x v="1"/>
    <n v="286"/>
    <n v="0.90659999999999996"/>
    <n v="0.72940000000000005"/>
    <n v="1.7818000000000001"/>
    <n v="0.53900000000000003"/>
  </r>
  <r>
    <x v="0"/>
    <x v="2"/>
    <x v="0"/>
    <b v="0"/>
    <x v="1"/>
    <x v="0"/>
    <x v="0"/>
    <n v="70"/>
    <n v="1.2178"/>
    <n v="0.63819999999999999"/>
    <n v="1.7279"/>
    <n v="0.53900000000000003"/>
  </r>
  <r>
    <x v="0"/>
    <x v="0"/>
    <x v="2"/>
    <b v="0"/>
    <x v="0"/>
    <x v="0"/>
    <x v="0"/>
    <n v="139"/>
    <n v="1.0711999999999999"/>
    <n v="0.67810000000000004"/>
    <n v="1.6083000000000001"/>
    <n v="0.53900000000000003"/>
  </r>
  <r>
    <x v="0"/>
    <x v="2"/>
    <x v="1"/>
    <b v="1"/>
    <x v="0"/>
    <x v="0"/>
    <x v="0"/>
    <n v="72"/>
    <n v="0.83750000000000002"/>
    <n v="0.75590000000000002"/>
    <n v="1.7928999999999999"/>
    <n v="0.53849999999999998"/>
  </r>
  <r>
    <x v="0"/>
    <x v="2"/>
    <x v="2"/>
    <b v="1"/>
    <x v="1"/>
    <x v="0"/>
    <x v="4"/>
    <n v="312"/>
    <n v="0.93740000000000001"/>
    <n v="0.72089999999999999"/>
    <n v="1.7787999999999999"/>
    <n v="0.53849999999999998"/>
  </r>
  <r>
    <x v="0"/>
    <x v="2"/>
    <x v="2"/>
    <b v="0"/>
    <x v="1"/>
    <x v="1"/>
    <x v="5"/>
    <n v="147"/>
    <n v="0.46150000000000002"/>
    <n v="0.86699999999999999"/>
    <n v="1.982"/>
    <n v="0.53800000000000003"/>
  </r>
  <r>
    <x v="0"/>
    <x v="0"/>
    <x v="2"/>
    <b v="1"/>
    <x v="1"/>
    <x v="1"/>
    <x v="1"/>
    <n v="295"/>
    <n v="0.48830000000000001"/>
    <n v="0.85680000000000001"/>
    <n v="1.9578"/>
    <n v="0.53800000000000003"/>
  </r>
  <r>
    <x v="0"/>
    <x v="1"/>
    <x v="2"/>
    <b v="0"/>
    <x v="0"/>
    <x v="0"/>
    <x v="3"/>
    <n v="142"/>
    <n v="0.76400000000000001"/>
    <n v="0.77210000000000001"/>
    <n v="1.7421"/>
    <n v="0.53800000000000003"/>
  </r>
  <r>
    <x v="0"/>
    <x v="2"/>
    <x v="1"/>
    <b v="0"/>
    <x v="1"/>
    <x v="0"/>
    <x v="0"/>
    <n v="42"/>
    <n v="1.3197000000000001"/>
    <n v="0.60550000000000004"/>
    <n v="1.7235"/>
    <n v="0.53800000000000003"/>
  </r>
  <r>
    <x v="0"/>
    <x v="2"/>
    <x v="1"/>
    <b v="1"/>
    <x v="0"/>
    <x v="0"/>
    <x v="1"/>
    <n v="73"/>
    <n v="0.69320000000000004"/>
    <n v="0.79930000000000001"/>
    <n v="1.8846000000000001"/>
    <n v="0.53800000000000003"/>
  </r>
  <r>
    <x v="0"/>
    <x v="0"/>
    <x v="0"/>
    <b v="1"/>
    <x v="1"/>
    <x v="0"/>
    <x v="1"/>
    <n v="141"/>
    <n v="1.1271"/>
    <n v="0.6673"/>
    <n v="1.7294"/>
    <n v="0.53800000000000003"/>
  </r>
  <r>
    <x v="0"/>
    <x v="1"/>
    <x v="1"/>
    <b v="0"/>
    <x v="0"/>
    <x v="1"/>
    <x v="3"/>
    <n v="49"/>
    <n v="0.2379"/>
    <n v="0.93659999999999999"/>
    <n v="2.3650000000000002"/>
    <n v="0.53749999999999998"/>
  </r>
  <r>
    <x v="0"/>
    <x v="2"/>
    <x v="2"/>
    <b v="0"/>
    <x v="1"/>
    <x v="1"/>
    <x v="1"/>
    <n v="143"/>
    <n v="0.25559999999999999"/>
    <n v="0.92630000000000001"/>
    <n v="2.2025000000000001"/>
    <n v="0.53749999999999998"/>
  </r>
  <r>
    <x v="0"/>
    <x v="1"/>
    <x v="1"/>
    <b v="0"/>
    <x v="0"/>
    <x v="0"/>
    <x v="1"/>
    <n v="48"/>
    <n v="0.59470000000000001"/>
    <n v="0.82709999999999995"/>
    <n v="1.9540999999999999"/>
    <n v="0.53749999999999998"/>
  </r>
  <r>
    <x v="0"/>
    <x v="0"/>
    <x v="0"/>
    <b v="1"/>
    <x v="1"/>
    <x v="0"/>
    <x v="3"/>
    <n v="141"/>
    <n v="1.2302999999999999"/>
    <n v="0.63090000000000002"/>
    <n v="1.7662"/>
    <n v="0.53749999999999998"/>
  </r>
  <r>
    <x v="0"/>
    <x v="0"/>
    <x v="2"/>
    <b v="0"/>
    <x v="1"/>
    <x v="0"/>
    <x v="0"/>
    <n v="174"/>
    <n v="1.3079000000000001"/>
    <n v="0.60460000000000003"/>
    <n v="1.7229000000000001"/>
    <n v="0.53749999999999998"/>
  </r>
  <r>
    <x v="0"/>
    <x v="1"/>
    <x v="0"/>
    <b v="0"/>
    <x v="1"/>
    <x v="1"/>
    <x v="2"/>
    <n v="92"/>
    <n v="0.35680000000000001"/>
    <n v="0.89839999999999998"/>
    <n v="2.1859000000000002"/>
    <n v="0.53700000000000003"/>
  </r>
  <r>
    <x v="0"/>
    <x v="2"/>
    <x v="1"/>
    <b v="0"/>
    <x v="0"/>
    <x v="0"/>
    <x v="0"/>
    <n v="41"/>
    <n v="0.87180000000000002"/>
    <n v="0.75260000000000005"/>
    <n v="1.7641"/>
    <n v="0.53700000000000003"/>
  </r>
  <r>
    <x v="0"/>
    <x v="2"/>
    <x v="0"/>
    <b v="1"/>
    <x v="0"/>
    <x v="0"/>
    <x v="0"/>
    <n v="141"/>
    <n v="0.79249999999999998"/>
    <n v="0.76790000000000003"/>
    <n v="1.7611000000000001"/>
    <n v="0.53700000000000003"/>
  </r>
  <r>
    <x v="0"/>
    <x v="2"/>
    <x v="2"/>
    <b v="1"/>
    <x v="1"/>
    <x v="0"/>
    <x v="2"/>
    <n v="303"/>
    <n v="1.1211"/>
    <n v="0.66510000000000002"/>
    <n v="1.7332000000000001"/>
    <n v="0.53700000000000003"/>
  </r>
  <r>
    <x v="0"/>
    <x v="0"/>
    <x v="0"/>
    <b v="0"/>
    <x v="1"/>
    <x v="0"/>
    <x v="0"/>
    <n v="75"/>
    <n v="1.3309"/>
    <n v="0.60360000000000003"/>
    <n v="1.7232000000000001"/>
    <n v="0.53700000000000003"/>
  </r>
  <r>
    <x v="0"/>
    <x v="1"/>
    <x v="1"/>
    <b v="1"/>
    <x v="1"/>
    <x v="0"/>
    <x v="2"/>
    <n v="85"/>
    <n v="1.1149"/>
    <n v="0.67589999999999995"/>
    <n v="1.7987"/>
    <n v="0.53600000000000003"/>
  </r>
  <r>
    <x v="0"/>
    <x v="0"/>
    <x v="0"/>
    <b v="0"/>
    <x v="1"/>
    <x v="1"/>
    <x v="2"/>
    <n v="76"/>
    <n v="0.55820000000000003"/>
    <n v="0.83919999999999995"/>
    <n v="1.9345000000000001"/>
    <n v="0.53600000000000003"/>
  </r>
  <r>
    <x v="0"/>
    <x v="2"/>
    <x v="0"/>
    <b v="0"/>
    <x v="1"/>
    <x v="1"/>
    <x v="0"/>
    <n v="74"/>
    <n v="0.39750000000000002"/>
    <n v="0.8881"/>
    <n v="2.177"/>
    <n v="0.53600000000000003"/>
  </r>
  <r>
    <x v="0"/>
    <x v="0"/>
    <x v="2"/>
    <b v="0"/>
    <x v="1"/>
    <x v="1"/>
    <x v="4"/>
    <n v="145"/>
    <n v="0.40160000000000001"/>
    <n v="0.88100000000000001"/>
    <n v="1.9785999999999999"/>
    <n v="0.53600000000000003"/>
  </r>
  <r>
    <x v="0"/>
    <x v="2"/>
    <x v="2"/>
    <b v="1"/>
    <x v="0"/>
    <x v="0"/>
    <x v="2"/>
    <n v="286"/>
    <n v="0.97060000000000002"/>
    <n v="0.70920000000000005"/>
    <n v="1.6913"/>
    <n v="0.53600000000000003"/>
  </r>
  <r>
    <x v="0"/>
    <x v="1"/>
    <x v="2"/>
    <b v="0"/>
    <x v="0"/>
    <x v="0"/>
    <x v="1"/>
    <n v="144"/>
    <n v="0.63929999999999998"/>
    <n v="0.81169999999999998"/>
    <n v="1.8831"/>
    <n v="0.53600000000000003"/>
  </r>
  <r>
    <x v="0"/>
    <x v="2"/>
    <x v="2"/>
    <b v="0"/>
    <x v="0"/>
    <x v="0"/>
    <x v="5"/>
    <n v="140"/>
    <n v="1.0765"/>
    <n v="0.67849999999999999"/>
    <n v="1.6840999999999999"/>
    <n v="0.53600000000000003"/>
  </r>
  <r>
    <x v="0"/>
    <x v="0"/>
    <x v="2"/>
    <b v="1"/>
    <x v="0"/>
    <x v="0"/>
    <x v="2"/>
    <n v="284"/>
    <n v="1.0914999999999999"/>
    <n v="0.68130000000000002"/>
    <n v="1.7285999999999999"/>
    <n v="0.53600000000000003"/>
  </r>
  <r>
    <x v="0"/>
    <x v="0"/>
    <x v="2"/>
    <b v="1"/>
    <x v="0"/>
    <x v="0"/>
    <x v="3"/>
    <n v="285"/>
    <n v="0.99160000000000004"/>
    <n v="0.70530000000000004"/>
    <n v="1.7495000000000001"/>
    <n v="0.53600000000000003"/>
  </r>
  <r>
    <x v="0"/>
    <x v="0"/>
    <x v="2"/>
    <b v="1"/>
    <x v="0"/>
    <x v="1"/>
    <x v="2"/>
    <n v="279"/>
    <n v="0.59489999999999998"/>
    <n v="0.82469999999999999"/>
    <n v="1.8938999999999999"/>
    <n v="0.53500000000000003"/>
  </r>
  <r>
    <x v="0"/>
    <x v="0"/>
    <x v="0"/>
    <b v="0"/>
    <x v="0"/>
    <x v="0"/>
    <x v="5"/>
    <n v="74"/>
    <n v="1.1755"/>
    <n v="0.65759999999999996"/>
    <n v="1.6766000000000001"/>
    <n v="0.53500000000000003"/>
  </r>
  <r>
    <x v="0"/>
    <x v="0"/>
    <x v="2"/>
    <b v="1"/>
    <x v="1"/>
    <x v="1"/>
    <x v="0"/>
    <n v="294"/>
    <n v="0.62729999999999997"/>
    <n v="0.81330000000000002"/>
    <n v="1.8723000000000001"/>
    <n v="0.53500000000000003"/>
  </r>
  <r>
    <x v="0"/>
    <x v="1"/>
    <x v="1"/>
    <b v="1"/>
    <x v="1"/>
    <x v="0"/>
    <x v="3"/>
    <n v="85"/>
    <n v="0.9798"/>
    <n v="0.70989999999999998"/>
    <n v="1.8879999999999999"/>
    <n v="0.53449999999999998"/>
  </r>
  <r>
    <x v="0"/>
    <x v="2"/>
    <x v="1"/>
    <b v="1"/>
    <x v="1"/>
    <x v="0"/>
    <x v="3"/>
    <n v="72"/>
    <n v="1.1347"/>
    <n v="0.66390000000000005"/>
    <n v="1.8280000000000001"/>
    <n v="0.53449999999999998"/>
  </r>
  <r>
    <x v="0"/>
    <x v="2"/>
    <x v="2"/>
    <b v="1"/>
    <x v="0"/>
    <x v="0"/>
    <x v="1"/>
    <n v="287"/>
    <n v="0.73839999999999995"/>
    <n v="0.77510000000000001"/>
    <n v="1.7124999999999999"/>
    <n v="0.53449999999999998"/>
  </r>
  <r>
    <x v="0"/>
    <x v="1"/>
    <x v="0"/>
    <b v="0"/>
    <x v="1"/>
    <x v="1"/>
    <x v="5"/>
    <n v="91"/>
    <n v="0.39950000000000002"/>
    <n v="0.8921"/>
    <n v="2.1916000000000002"/>
    <n v="0.53400000000000003"/>
  </r>
  <r>
    <x v="0"/>
    <x v="1"/>
    <x v="2"/>
    <b v="0"/>
    <x v="1"/>
    <x v="1"/>
    <x v="5"/>
    <n v="151"/>
    <n v="0.39079999999999998"/>
    <n v="0.89059999999999995"/>
    <n v="2.0423"/>
    <n v="0.53400000000000003"/>
  </r>
  <r>
    <x v="0"/>
    <x v="2"/>
    <x v="0"/>
    <b v="0"/>
    <x v="0"/>
    <x v="1"/>
    <x v="4"/>
    <n v="74"/>
    <n v="0.25059999999999999"/>
    <n v="0.93130000000000002"/>
    <n v="2.2444999999999999"/>
    <n v="0.53400000000000003"/>
  </r>
  <r>
    <x v="0"/>
    <x v="0"/>
    <x v="0"/>
    <b v="1"/>
    <x v="1"/>
    <x v="1"/>
    <x v="1"/>
    <n v="140"/>
    <n v="0.55520000000000003"/>
    <n v="0.83530000000000004"/>
    <n v="2.0377999999999998"/>
    <n v="0.53400000000000003"/>
  </r>
  <r>
    <x v="0"/>
    <x v="1"/>
    <x v="0"/>
    <b v="0"/>
    <x v="0"/>
    <x v="0"/>
    <x v="2"/>
    <n v="72"/>
    <n v="0.8347"/>
    <n v="0.75800000000000001"/>
    <n v="1.8519000000000001"/>
    <n v="0.53400000000000003"/>
  </r>
  <r>
    <x v="0"/>
    <x v="2"/>
    <x v="1"/>
    <b v="0"/>
    <x v="0"/>
    <x v="0"/>
    <x v="4"/>
    <n v="41"/>
    <n v="0.75680000000000003"/>
    <n v="0.78810000000000002"/>
    <n v="1.8107"/>
    <n v="0.53400000000000003"/>
  </r>
  <r>
    <x v="0"/>
    <x v="1"/>
    <x v="2"/>
    <b v="1"/>
    <x v="1"/>
    <x v="0"/>
    <x v="1"/>
    <n v="289"/>
    <n v="0.78380000000000005"/>
    <n v="0.76559999999999995"/>
    <n v="1.7874000000000001"/>
    <n v="0.53400000000000003"/>
  </r>
  <r>
    <x v="0"/>
    <x v="1"/>
    <x v="1"/>
    <b v="1"/>
    <x v="1"/>
    <x v="0"/>
    <x v="4"/>
    <n v="85"/>
    <n v="0.9123"/>
    <n v="0.73350000000000004"/>
    <n v="1.8221000000000001"/>
    <n v="0.53349999999999997"/>
  </r>
  <r>
    <x v="0"/>
    <x v="0"/>
    <x v="2"/>
    <b v="0"/>
    <x v="0"/>
    <x v="1"/>
    <x v="5"/>
    <n v="142"/>
    <n v="0.50839999999999996"/>
    <n v="0.84909999999999997"/>
    <n v="1.8971"/>
    <n v="0.53349999999999997"/>
  </r>
  <r>
    <x v="0"/>
    <x v="2"/>
    <x v="1"/>
    <b v="0"/>
    <x v="1"/>
    <x v="1"/>
    <x v="2"/>
    <n v="42"/>
    <n v="0.45729999999999998"/>
    <n v="0.87409999999999999"/>
    <n v="2.1555"/>
    <n v="0.53349999999999997"/>
  </r>
  <r>
    <x v="0"/>
    <x v="1"/>
    <x v="0"/>
    <b v="0"/>
    <x v="0"/>
    <x v="0"/>
    <x v="3"/>
    <n v="72"/>
    <n v="0.69140000000000001"/>
    <n v="0.79649999999999999"/>
    <n v="1.8740000000000001"/>
    <n v="0.53349999999999997"/>
  </r>
  <r>
    <x v="0"/>
    <x v="1"/>
    <x v="0"/>
    <b v="0"/>
    <x v="1"/>
    <x v="0"/>
    <x v="3"/>
    <n v="73"/>
    <n v="1.0042"/>
    <n v="0.70699999999999996"/>
    <n v="1.7771999999999999"/>
    <n v="0.53349999999999997"/>
  </r>
  <r>
    <x v="0"/>
    <x v="2"/>
    <x v="1"/>
    <b v="1"/>
    <x v="0"/>
    <x v="0"/>
    <x v="3"/>
    <n v="73"/>
    <n v="0.78610000000000002"/>
    <n v="0.76819999999999999"/>
    <n v="1.8063"/>
    <n v="0.53349999999999997"/>
  </r>
  <r>
    <x v="0"/>
    <x v="2"/>
    <x v="0"/>
    <b v="1"/>
    <x v="1"/>
    <x v="0"/>
    <x v="2"/>
    <n v="141"/>
    <n v="1.1606000000000001"/>
    <n v="0.65110000000000001"/>
    <n v="1.7228000000000001"/>
    <n v="0.53349999999999997"/>
  </r>
  <r>
    <x v="0"/>
    <x v="2"/>
    <x v="2"/>
    <b v="1"/>
    <x v="0"/>
    <x v="0"/>
    <x v="0"/>
    <n v="287"/>
    <n v="0.90610000000000002"/>
    <n v="0.72699999999999998"/>
    <n v="1.7604"/>
    <n v="0.53349999999999997"/>
  </r>
  <r>
    <x v="0"/>
    <x v="1"/>
    <x v="0"/>
    <b v="0"/>
    <x v="0"/>
    <x v="0"/>
    <x v="1"/>
    <n v="85"/>
    <n v="0.58179999999999998"/>
    <n v="0.82899999999999996"/>
    <n v="1.9096"/>
    <n v="0.53349999999999997"/>
  </r>
  <r>
    <x v="0"/>
    <x v="1"/>
    <x v="1"/>
    <b v="0"/>
    <x v="1"/>
    <x v="0"/>
    <x v="3"/>
    <n v="42"/>
    <n v="1.0543"/>
    <n v="0.69140000000000001"/>
    <n v="1.8412999999999999"/>
    <n v="0.53300000000000003"/>
  </r>
  <r>
    <x v="0"/>
    <x v="0"/>
    <x v="0"/>
    <b v="1"/>
    <x v="0"/>
    <x v="1"/>
    <x v="5"/>
    <n v="136"/>
    <n v="0.6694"/>
    <n v="0.79910000000000003"/>
    <n v="1.8823000000000001"/>
    <n v="0.53300000000000003"/>
  </r>
  <r>
    <x v="0"/>
    <x v="1"/>
    <x v="0"/>
    <b v="0"/>
    <x v="1"/>
    <x v="1"/>
    <x v="4"/>
    <n v="93"/>
    <n v="0.23300000000000001"/>
    <n v="0.93369999999999997"/>
    <n v="2.4651999999999998"/>
    <n v="0.53249999999999997"/>
  </r>
  <r>
    <x v="0"/>
    <x v="1"/>
    <x v="0"/>
    <b v="1"/>
    <x v="1"/>
    <x v="0"/>
    <x v="0"/>
    <n v="146"/>
    <n v="0.97899999999999998"/>
    <n v="0.71030000000000004"/>
    <n v="1.8098000000000001"/>
    <n v="0.53249999999999997"/>
  </r>
  <r>
    <x v="0"/>
    <x v="2"/>
    <x v="0"/>
    <b v="0"/>
    <x v="0"/>
    <x v="0"/>
    <x v="5"/>
    <n v="73"/>
    <n v="1.0303"/>
    <n v="0.69020000000000004"/>
    <n v="1.6900999999999999"/>
    <n v="0.53249999999999997"/>
  </r>
  <r>
    <x v="0"/>
    <x v="0"/>
    <x v="1"/>
    <b v="1"/>
    <x v="0"/>
    <x v="0"/>
    <x v="2"/>
    <n v="75"/>
    <n v="1.1269"/>
    <n v="0.6714"/>
    <n v="1.7665999999999999"/>
    <n v="0.53249999999999997"/>
  </r>
  <r>
    <x v="0"/>
    <x v="1"/>
    <x v="0"/>
    <b v="0"/>
    <x v="1"/>
    <x v="1"/>
    <x v="3"/>
    <n v="93"/>
    <n v="0.27379999999999999"/>
    <n v="0.92159999999999997"/>
    <n v="2.3361000000000001"/>
    <n v="0.53200000000000003"/>
  </r>
  <r>
    <x v="0"/>
    <x v="1"/>
    <x v="0"/>
    <b v="1"/>
    <x v="0"/>
    <x v="0"/>
    <x v="4"/>
    <n v="143"/>
    <n v="0.53039999999999998"/>
    <n v="0.84240000000000004"/>
    <n v="1.9830000000000001"/>
    <n v="0.53149999999999997"/>
  </r>
  <r>
    <x v="0"/>
    <x v="2"/>
    <x v="2"/>
    <b v="1"/>
    <x v="0"/>
    <x v="1"/>
    <x v="5"/>
    <n v="277"/>
    <n v="0.44319999999999998"/>
    <n v="0.87039999999999995"/>
    <n v="1.9753000000000001"/>
    <n v="0.53149999999999997"/>
  </r>
  <r>
    <x v="0"/>
    <x v="2"/>
    <x v="2"/>
    <b v="0"/>
    <x v="1"/>
    <x v="1"/>
    <x v="2"/>
    <n v="163"/>
    <n v="0.39369999999999999"/>
    <n v="0.88480000000000003"/>
    <n v="1.9545999999999999"/>
    <n v="0.53149999999999997"/>
  </r>
  <r>
    <x v="0"/>
    <x v="1"/>
    <x v="2"/>
    <b v="1"/>
    <x v="1"/>
    <x v="1"/>
    <x v="4"/>
    <n v="286"/>
    <n v="0.32450000000000001"/>
    <n v="0.90290000000000004"/>
    <n v="2.2484000000000002"/>
    <n v="0.53149999999999997"/>
  </r>
  <r>
    <x v="0"/>
    <x v="1"/>
    <x v="2"/>
    <b v="0"/>
    <x v="0"/>
    <x v="0"/>
    <x v="2"/>
    <n v="140"/>
    <n v="0.93959999999999999"/>
    <n v="0.72199999999999998"/>
    <n v="1.6862999999999999"/>
    <n v="0.53149999999999997"/>
  </r>
  <r>
    <x v="0"/>
    <x v="2"/>
    <x v="1"/>
    <b v="1"/>
    <x v="1"/>
    <x v="0"/>
    <x v="1"/>
    <n v="72"/>
    <n v="1.0307999999999999"/>
    <n v="0.70099999999999996"/>
    <n v="1.8315999999999999"/>
    <n v="0.53149999999999997"/>
  </r>
  <r>
    <x v="0"/>
    <x v="0"/>
    <x v="1"/>
    <b v="1"/>
    <x v="0"/>
    <x v="0"/>
    <x v="1"/>
    <n v="75"/>
    <n v="0.95720000000000005"/>
    <n v="0.72009999999999996"/>
    <n v="1.8089"/>
    <n v="0.53149999999999997"/>
  </r>
  <r>
    <x v="0"/>
    <x v="1"/>
    <x v="1"/>
    <b v="0"/>
    <x v="0"/>
    <x v="0"/>
    <x v="3"/>
    <n v="48"/>
    <n v="0.71419999999999995"/>
    <n v="0.79469999999999996"/>
    <n v="1.8481000000000001"/>
    <n v="0.53100000000000003"/>
  </r>
  <r>
    <x v="0"/>
    <x v="2"/>
    <x v="2"/>
    <b v="0"/>
    <x v="0"/>
    <x v="1"/>
    <x v="3"/>
    <n v="141"/>
    <n v="0.2732"/>
    <n v="0.9194"/>
    <n v="2.1680000000000001"/>
    <n v="0.53100000000000003"/>
  </r>
  <r>
    <x v="0"/>
    <x v="0"/>
    <x v="2"/>
    <b v="0"/>
    <x v="1"/>
    <x v="1"/>
    <x v="3"/>
    <n v="169"/>
    <n v="0.45850000000000002"/>
    <n v="0.86550000000000005"/>
    <n v="1.9105000000000001"/>
    <n v="0.53100000000000003"/>
  </r>
  <r>
    <x v="0"/>
    <x v="1"/>
    <x v="1"/>
    <b v="0"/>
    <x v="1"/>
    <x v="1"/>
    <x v="4"/>
    <n v="42"/>
    <n v="0.22550000000000001"/>
    <n v="0.94059999999999999"/>
    <n v="2.4098000000000002"/>
    <n v="0.53100000000000003"/>
  </r>
  <r>
    <x v="0"/>
    <x v="2"/>
    <x v="2"/>
    <b v="0"/>
    <x v="0"/>
    <x v="1"/>
    <x v="1"/>
    <n v="142"/>
    <n v="0.23250000000000001"/>
    <n v="0.93359999999999999"/>
    <n v="2.3148"/>
    <n v="0.53100000000000003"/>
  </r>
  <r>
    <x v="0"/>
    <x v="1"/>
    <x v="0"/>
    <b v="0"/>
    <x v="1"/>
    <x v="0"/>
    <x v="0"/>
    <n v="73"/>
    <n v="1.0943000000000001"/>
    <n v="0.6794"/>
    <n v="1.7677"/>
    <n v="0.53100000000000003"/>
  </r>
  <r>
    <x v="0"/>
    <x v="2"/>
    <x v="1"/>
    <b v="1"/>
    <x v="1"/>
    <x v="0"/>
    <x v="0"/>
    <n v="72"/>
    <n v="1.1865000000000001"/>
    <n v="0.64610000000000001"/>
    <n v="1.7988"/>
    <n v="0.53100000000000003"/>
  </r>
  <r>
    <x v="0"/>
    <x v="1"/>
    <x v="0"/>
    <b v="1"/>
    <x v="0"/>
    <x v="1"/>
    <x v="2"/>
    <n v="135"/>
    <n v="0.31169999999999998"/>
    <n v="0.90400000000000003"/>
    <n v="2.2176"/>
    <n v="0.53049999999999997"/>
  </r>
  <r>
    <x v="0"/>
    <x v="0"/>
    <x v="1"/>
    <b v="0"/>
    <x v="1"/>
    <x v="1"/>
    <x v="0"/>
    <n v="50"/>
    <n v="0.54659999999999997"/>
    <n v="0.8417"/>
    <n v="2.1467999999999998"/>
    <n v="0.53049999999999997"/>
  </r>
  <r>
    <x v="0"/>
    <x v="1"/>
    <x v="0"/>
    <b v="0"/>
    <x v="1"/>
    <x v="1"/>
    <x v="1"/>
    <n v="93"/>
    <n v="0.21560000000000001"/>
    <n v="0.94359999999999999"/>
    <n v="2.4910999999999999"/>
    <n v="0.53049999999999997"/>
  </r>
  <r>
    <x v="0"/>
    <x v="1"/>
    <x v="1"/>
    <b v="1"/>
    <x v="0"/>
    <x v="0"/>
    <x v="5"/>
    <n v="73"/>
    <n v="0.91200000000000003"/>
    <n v="0.73509999999999998"/>
    <n v="1.7706"/>
    <n v="0.53"/>
  </r>
  <r>
    <x v="0"/>
    <x v="1"/>
    <x v="0"/>
    <b v="0"/>
    <x v="1"/>
    <x v="1"/>
    <x v="0"/>
    <n v="93"/>
    <n v="0.3105"/>
    <n v="0.9143"/>
    <n v="2.2972000000000001"/>
    <n v="0.53"/>
  </r>
  <r>
    <x v="0"/>
    <x v="2"/>
    <x v="1"/>
    <b v="0"/>
    <x v="1"/>
    <x v="1"/>
    <x v="1"/>
    <n v="43"/>
    <n v="0.28620000000000001"/>
    <n v="0.92549999999999999"/>
    <n v="2.3481000000000001"/>
    <n v="0.53"/>
  </r>
  <r>
    <x v="0"/>
    <x v="1"/>
    <x v="0"/>
    <b v="1"/>
    <x v="0"/>
    <x v="0"/>
    <x v="1"/>
    <n v="143"/>
    <n v="0.48809999999999998"/>
    <n v="0.85350000000000004"/>
    <n v="2.0021"/>
    <n v="0.53"/>
  </r>
  <r>
    <x v="0"/>
    <x v="0"/>
    <x v="2"/>
    <b v="1"/>
    <x v="0"/>
    <x v="0"/>
    <x v="0"/>
    <n v="285"/>
    <n v="1.0571999999999999"/>
    <n v="0.68149999999999999"/>
    <n v="1.742"/>
    <n v="0.53"/>
  </r>
  <r>
    <x v="0"/>
    <x v="1"/>
    <x v="1"/>
    <b v="1"/>
    <x v="1"/>
    <x v="0"/>
    <x v="0"/>
    <n v="85"/>
    <n v="1.0414000000000001"/>
    <n v="0.69289999999999996"/>
    <n v="1.8391999999999999"/>
    <n v="0.52949999999999997"/>
  </r>
  <r>
    <x v="0"/>
    <x v="1"/>
    <x v="2"/>
    <b v="0"/>
    <x v="1"/>
    <x v="1"/>
    <x v="0"/>
    <n v="165"/>
    <n v="0.29320000000000002"/>
    <n v="0.91610000000000003"/>
    <n v="2.2023000000000001"/>
    <n v="0.52949999999999997"/>
  </r>
  <r>
    <x v="0"/>
    <x v="0"/>
    <x v="1"/>
    <b v="0"/>
    <x v="1"/>
    <x v="1"/>
    <x v="3"/>
    <n v="51"/>
    <n v="0.47049999999999997"/>
    <n v="0.86760000000000004"/>
    <n v="2.1943000000000001"/>
    <n v="0.52949999999999997"/>
  </r>
  <r>
    <x v="0"/>
    <x v="2"/>
    <x v="2"/>
    <b v="1"/>
    <x v="0"/>
    <x v="1"/>
    <x v="4"/>
    <n v="276"/>
    <n v="0.29299999999999998"/>
    <n v="0.91500000000000004"/>
    <n v="2.1793999999999998"/>
    <n v="0.52949999999999997"/>
  </r>
  <r>
    <x v="0"/>
    <x v="1"/>
    <x v="2"/>
    <b v="0"/>
    <x v="0"/>
    <x v="0"/>
    <x v="0"/>
    <n v="142"/>
    <n v="0.87250000000000005"/>
    <n v="0.74590000000000001"/>
    <n v="1.7426999999999999"/>
    <n v="0.52949999999999997"/>
  </r>
  <r>
    <x v="0"/>
    <x v="2"/>
    <x v="1"/>
    <b v="1"/>
    <x v="0"/>
    <x v="0"/>
    <x v="5"/>
    <n v="73"/>
    <n v="0.96260000000000001"/>
    <n v="0.71579999999999999"/>
    <n v="1.7635000000000001"/>
    <n v="0.52949999999999997"/>
  </r>
  <r>
    <x v="0"/>
    <x v="2"/>
    <x v="2"/>
    <b v="1"/>
    <x v="1"/>
    <x v="0"/>
    <x v="5"/>
    <n v="299"/>
    <n v="1.1664000000000001"/>
    <n v="0.6583"/>
    <n v="1.8596999999999999"/>
    <n v="0.52949999999999997"/>
  </r>
  <r>
    <x v="0"/>
    <x v="1"/>
    <x v="0"/>
    <b v="1"/>
    <x v="0"/>
    <x v="0"/>
    <x v="2"/>
    <n v="143"/>
    <n v="0.69189999999999996"/>
    <n v="0.79669999999999996"/>
    <n v="1.87"/>
    <n v="0.52900000000000003"/>
  </r>
  <r>
    <x v="0"/>
    <x v="0"/>
    <x v="2"/>
    <b v="0"/>
    <x v="1"/>
    <x v="1"/>
    <x v="2"/>
    <n v="171"/>
    <n v="0.57240000000000002"/>
    <n v="0.83289999999999997"/>
    <n v="1.9710000000000001"/>
    <n v="0.52900000000000003"/>
  </r>
  <r>
    <x v="0"/>
    <x v="1"/>
    <x v="0"/>
    <b v="1"/>
    <x v="1"/>
    <x v="1"/>
    <x v="3"/>
    <n v="147"/>
    <n v="0.33689999999999998"/>
    <n v="0.90300000000000002"/>
    <n v="2.1103999999999998"/>
    <n v="0.52900000000000003"/>
  </r>
  <r>
    <x v="0"/>
    <x v="0"/>
    <x v="0"/>
    <b v="1"/>
    <x v="1"/>
    <x v="0"/>
    <x v="4"/>
    <n v="141"/>
    <n v="1.1859"/>
    <n v="0.6401"/>
    <n v="1.7977000000000001"/>
    <n v="0.52900000000000003"/>
  </r>
  <r>
    <x v="0"/>
    <x v="0"/>
    <x v="1"/>
    <b v="0"/>
    <x v="0"/>
    <x v="1"/>
    <x v="5"/>
    <n v="51"/>
    <n v="0.51139999999999997"/>
    <n v="0.85529999999999995"/>
    <n v="2.0245000000000002"/>
    <n v="0.52849999999999997"/>
  </r>
  <r>
    <x v="0"/>
    <x v="1"/>
    <x v="2"/>
    <b v="1"/>
    <x v="1"/>
    <x v="1"/>
    <x v="2"/>
    <n v="288"/>
    <n v="0.44400000000000001"/>
    <n v="0.87090000000000001"/>
    <n v="2.0133000000000001"/>
    <n v="0.52849999999999997"/>
  </r>
  <r>
    <x v="0"/>
    <x v="0"/>
    <x v="0"/>
    <b v="1"/>
    <x v="0"/>
    <x v="1"/>
    <x v="3"/>
    <n v="137"/>
    <n v="0.49159999999999998"/>
    <n v="0.85429999999999995"/>
    <n v="1.9957"/>
    <n v="0.52849999999999997"/>
  </r>
  <r>
    <x v="0"/>
    <x v="2"/>
    <x v="0"/>
    <b v="0"/>
    <x v="1"/>
    <x v="1"/>
    <x v="4"/>
    <n v="72"/>
    <n v="0.31869999999999998"/>
    <n v="0.9103"/>
    <n v="2.2465000000000002"/>
    <n v="0.52849999999999997"/>
  </r>
  <r>
    <x v="0"/>
    <x v="1"/>
    <x v="2"/>
    <b v="1"/>
    <x v="1"/>
    <x v="0"/>
    <x v="4"/>
    <n v="290"/>
    <n v="0.83520000000000005"/>
    <n v="0.74990000000000001"/>
    <n v="1.7523"/>
    <n v="0.52849999999999997"/>
  </r>
  <r>
    <x v="0"/>
    <x v="2"/>
    <x v="0"/>
    <b v="1"/>
    <x v="1"/>
    <x v="0"/>
    <x v="5"/>
    <n v="142"/>
    <n v="1.2405999999999999"/>
    <n v="0.63219999999999998"/>
    <n v="1.8104"/>
    <n v="0.52849999999999997"/>
  </r>
  <r>
    <x v="0"/>
    <x v="0"/>
    <x v="2"/>
    <b v="1"/>
    <x v="0"/>
    <x v="0"/>
    <x v="5"/>
    <n v="285"/>
    <n v="1.1585000000000001"/>
    <n v="0.65339999999999998"/>
    <n v="1.7465999999999999"/>
    <n v="0.52849999999999997"/>
  </r>
  <r>
    <x v="0"/>
    <x v="1"/>
    <x v="2"/>
    <b v="0"/>
    <x v="0"/>
    <x v="1"/>
    <x v="2"/>
    <n v="137"/>
    <n v="0.2515"/>
    <n v="0.92659999999999998"/>
    <n v="2.3170999999999999"/>
    <n v="0.52800000000000002"/>
  </r>
  <r>
    <x v="0"/>
    <x v="0"/>
    <x v="2"/>
    <b v="0"/>
    <x v="0"/>
    <x v="1"/>
    <x v="4"/>
    <n v="142"/>
    <n v="0.31309999999999999"/>
    <n v="0.9103"/>
    <n v="2.0794999999999999"/>
    <n v="0.52800000000000002"/>
  </r>
  <r>
    <x v="0"/>
    <x v="2"/>
    <x v="2"/>
    <b v="1"/>
    <x v="1"/>
    <x v="0"/>
    <x v="0"/>
    <n v="300"/>
    <n v="1.0549999999999999"/>
    <n v="0.68589999999999995"/>
    <n v="1.7757000000000001"/>
    <n v="0.52800000000000002"/>
  </r>
  <r>
    <x v="0"/>
    <x v="0"/>
    <x v="0"/>
    <b v="1"/>
    <x v="0"/>
    <x v="0"/>
    <x v="0"/>
    <n v="142"/>
    <n v="1.0499000000000001"/>
    <n v="0.68730000000000002"/>
    <n v="1.7334000000000001"/>
    <n v="0.52800000000000002"/>
  </r>
  <r>
    <x v="0"/>
    <x v="0"/>
    <x v="0"/>
    <b v="1"/>
    <x v="0"/>
    <x v="0"/>
    <x v="3"/>
    <n v="141"/>
    <n v="1.0263"/>
    <n v="0.6946"/>
    <n v="1.7751999999999999"/>
    <n v="0.52800000000000002"/>
  </r>
  <r>
    <x v="0"/>
    <x v="1"/>
    <x v="0"/>
    <b v="1"/>
    <x v="0"/>
    <x v="0"/>
    <x v="0"/>
    <n v="143"/>
    <n v="0.6512"/>
    <n v="0.80700000000000005"/>
    <n v="1.8408"/>
    <n v="0.52749999999999997"/>
  </r>
  <r>
    <x v="0"/>
    <x v="1"/>
    <x v="0"/>
    <b v="0"/>
    <x v="1"/>
    <x v="0"/>
    <x v="5"/>
    <n v="79"/>
    <n v="1.2744"/>
    <n v="0.62360000000000004"/>
    <n v="1.7827"/>
    <n v="0.52749999999999997"/>
  </r>
  <r>
    <x v="0"/>
    <x v="2"/>
    <x v="1"/>
    <b v="0"/>
    <x v="1"/>
    <x v="1"/>
    <x v="5"/>
    <n v="42"/>
    <n v="0.52669999999999995"/>
    <n v="0.85599999999999998"/>
    <n v="2.0869"/>
    <n v="0.52749999999999997"/>
  </r>
  <r>
    <x v="0"/>
    <x v="0"/>
    <x v="0"/>
    <b v="1"/>
    <x v="0"/>
    <x v="1"/>
    <x v="2"/>
    <n v="137"/>
    <n v="0.5998"/>
    <n v="0.82199999999999995"/>
    <n v="2.0228000000000002"/>
    <n v="0.52749999999999997"/>
  </r>
  <r>
    <x v="0"/>
    <x v="2"/>
    <x v="1"/>
    <b v="0"/>
    <x v="1"/>
    <x v="1"/>
    <x v="0"/>
    <n v="42"/>
    <n v="0.4012"/>
    <n v="0.89200000000000002"/>
    <n v="2.2633999999999999"/>
    <n v="0.52749999999999997"/>
  </r>
  <r>
    <x v="0"/>
    <x v="1"/>
    <x v="1"/>
    <b v="0"/>
    <x v="1"/>
    <x v="1"/>
    <x v="3"/>
    <n v="42"/>
    <n v="0.253"/>
    <n v="0.93310000000000004"/>
    <n v="2.4039000000000001"/>
    <n v="0.52749999999999997"/>
  </r>
  <r>
    <x v="0"/>
    <x v="0"/>
    <x v="0"/>
    <b v="0"/>
    <x v="0"/>
    <x v="1"/>
    <x v="3"/>
    <n v="74"/>
    <n v="0.3392"/>
    <n v="0.89959999999999996"/>
    <n v="2.0905"/>
    <n v="0.52749999999999997"/>
  </r>
  <r>
    <x v="0"/>
    <x v="1"/>
    <x v="1"/>
    <b v="1"/>
    <x v="1"/>
    <x v="0"/>
    <x v="1"/>
    <n v="86"/>
    <n v="0.85140000000000005"/>
    <n v="0.74750000000000005"/>
    <n v="1.8782000000000001"/>
    <n v="0.52749999999999997"/>
  </r>
  <r>
    <x v="0"/>
    <x v="0"/>
    <x v="1"/>
    <b v="1"/>
    <x v="1"/>
    <x v="0"/>
    <x v="1"/>
    <n v="73"/>
    <n v="1.27"/>
    <n v="0.62090000000000001"/>
    <n v="1.7757000000000001"/>
    <n v="0.52749999999999997"/>
  </r>
  <r>
    <x v="0"/>
    <x v="1"/>
    <x v="2"/>
    <b v="1"/>
    <x v="0"/>
    <x v="0"/>
    <x v="4"/>
    <n v="284"/>
    <n v="0.57310000000000005"/>
    <n v="0.82950000000000002"/>
    <n v="1.8969"/>
    <n v="0.52700000000000002"/>
  </r>
  <r>
    <x v="0"/>
    <x v="1"/>
    <x v="2"/>
    <b v="1"/>
    <x v="1"/>
    <x v="0"/>
    <x v="3"/>
    <n v="289"/>
    <n v="0.89349999999999996"/>
    <n v="0.72850000000000004"/>
    <n v="1.7851999999999999"/>
    <n v="0.52700000000000002"/>
  </r>
  <r>
    <x v="0"/>
    <x v="0"/>
    <x v="0"/>
    <b v="0"/>
    <x v="1"/>
    <x v="1"/>
    <x v="0"/>
    <n v="76"/>
    <n v="0.53220000000000001"/>
    <n v="0.84799999999999998"/>
    <n v="2.0154000000000001"/>
    <n v="0.52700000000000002"/>
  </r>
  <r>
    <x v="0"/>
    <x v="0"/>
    <x v="2"/>
    <b v="0"/>
    <x v="0"/>
    <x v="1"/>
    <x v="3"/>
    <n v="167"/>
    <n v="0.37819999999999998"/>
    <n v="0.88690000000000002"/>
    <n v="1.9971000000000001"/>
    <n v="0.52700000000000002"/>
  </r>
  <r>
    <x v="0"/>
    <x v="0"/>
    <x v="1"/>
    <b v="0"/>
    <x v="0"/>
    <x v="1"/>
    <x v="4"/>
    <n v="49"/>
    <n v="0.31850000000000001"/>
    <n v="0.91200000000000003"/>
    <n v="2.2063000000000001"/>
    <n v="0.52700000000000002"/>
  </r>
  <r>
    <x v="0"/>
    <x v="2"/>
    <x v="0"/>
    <b v="1"/>
    <x v="0"/>
    <x v="0"/>
    <x v="1"/>
    <n v="141"/>
    <n v="0.65100000000000002"/>
    <n v="0.80910000000000004"/>
    <n v="1.8492"/>
    <n v="0.52700000000000002"/>
  </r>
  <r>
    <x v="0"/>
    <x v="0"/>
    <x v="2"/>
    <b v="0"/>
    <x v="0"/>
    <x v="0"/>
    <x v="2"/>
    <n v="140"/>
    <n v="1.1359999999999999"/>
    <n v="0.66259999999999997"/>
    <n v="1.6869000000000001"/>
    <n v="0.52700000000000002"/>
  </r>
  <r>
    <x v="0"/>
    <x v="1"/>
    <x v="1"/>
    <b v="0"/>
    <x v="0"/>
    <x v="0"/>
    <x v="0"/>
    <n v="48"/>
    <n v="0.78910000000000002"/>
    <n v="0.77339999999999998"/>
    <n v="1.8193999999999999"/>
    <n v="0.52649999999999997"/>
  </r>
  <r>
    <x v="0"/>
    <x v="0"/>
    <x v="0"/>
    <b v="0"/>
    <x v="1"/>
    <x v="1"/>
    <x v="5"/>
    <n v="76"/>
    <n v="0.63839999999999997"/>
    <n v="0.81710000000000005"/>
    <n v="1.9360999999999999"/>
    <n v="0.52649999999999997"/>
  </r>
  <r>
    <x v="0"/>
    <x v="1"/>
    <x v="0"/>
    <b v="0"/>
    <x v="0"/>
    <x v="1"/>
    <x v="0"/>
    <n v="73"/>
    <n v="0.22439999999999999"/>
    <n v="0.93600000000000005"/>
    <n v="2.3662000000000001"/>
    <n v="0.52649999999999997"/>
  </r>
  <r>
    <x v="0"/>
    <x v="2"/>
    <x v="1"/>
    <b v="0"/>
    <x v="0"/>
    <x v="1"/>
    <x v="0"/>
    <n v="42"/>
    <n v="0.30620000000000003"/>
    <n v="0.91759999999999997"/>
    <n v="2.3365999999999998"/>
    <n v="0.52649999999999997"/>
  </r>
  <r>
    <x v="0"/>
    <x v="0"/>
    <x v="1"/>
    <b v="0"/>
    <x v="1"/>
    <x v="1"/>
    <x v="1"/>
    <n v="51"/>
    <n v="0.40029999999999999"/>
    <n v="0.88849999999999996"/>
    <n v="2.3140000000000001"/>
    <n v="0.52649999999999997"/>
  </r>
  <r>
    <x v="0"/>
    <x v="2"/>
    <x v="1"/>
    <b v="1"/>
    <x v="0"/>
    <x v="0"/>
    <x v="2"/>
    <n v="73"/>
    <n v="0.89219999999999999"/>
    <n v="0.74199999999999999"/>
    <n v="1.8194999999999999"/>
    <n v="0.52649999999999997"/>
  </r>
  <r>
    <x v="0"/>
    <x v="2"/>
    <x v="2"/>
    <b v="1"/>
    <x v="1"/>
    <x v="0"/>
    <x v="3"/>
    <n v="301"/>
    <n v="0.98270000000000002"/>
    <n v="0.70489999999999997"/>
    <n v="1.7484999999999999"/>
    <n v="0.52649999999999997"/>
  </r>
  <r>
    <x v="0"/>
    <x v="1"/>
    <x v="0"/>
    <b v="1"/>
    <x v="1"/>
    <x v="0"/>
    <x v="2"/>
    <n v="153"/>
    <n v="1.0547"/>
    <n v="0.6865"/>
    <n v="1.7659"/>
    <n v="0.52600000000000002"/>
  </r>
  <r>
    <x v="0"/>
    <x v="0"/>
    <x v="1"/>
    <b v="1"/>
    <x v="1"/>
    <x v="1"/>
    <x v="3"/>
    <n v="69"/>
    <n v="0.73050000000000004"/>
    <n v="0.78700000000000003"/>
    <n v="1.9729000000000001"/>
    <n v="0.52600000000000002"/>
  </r>
  <r>
    <x v="0"/>
    <x v="2"/>
    <x v="1"/>
    <b v="1"/>
    <x v="1"/>
    <x v="0"/>
    <x v="2"/>
    <n v="72"/>
    <n v="1.2603"/>
    <n v="0.62239999999999995"/>
    <n v="1.7773000000000001"/>
    <n v="0.52600000000000002"/>
  </r>
  <r>
    <x v="0"/>
    <x v="0"/>
    <x v="1"/>
    <b v="0"/>
    <x v="0"/>
    <x v="0"/>
    <x v="5"/>
    <n v="48"/>
    <n v="1.1737"/>
    <n v="0.65290000000000004"/>
    <n v="1.8018000000000001"/>
    <n v="0.52600000000000002"/>
  </r>
  <r>
    <x v="0"/>
    <x v="0"/>
    <x v="2"/>
    <b v="0"/>
    <x v="1"/>
    <x v="0"/>
    <x v="3"/>
    <n v="173"/>
    <n v="1.2394000000000001"/>
    <n v="0.63300000000000001"/>
    <n v="1.7694000000000001"/>
    <n v="0.52600000000000002"/>
  </r>
  <r>
    <x v="0"/>
    <x v="1"/>
    <x v="1"/>
    <b v="0"/>
    <x v="0"/>
    <x v="1"/>
    <x v="2"/>
    <n v="50"/>
    <n v="0.28239999999999998"/>
    <n v="0.92390000000000005"/>
    <n v="2.3367"/>
    <n v="0.52549999999999997"/>
  </r>
  <r>
    <x v="0"/>
    <x v="1"/>
    <x v="2"/>
    <b v="1"/>
    <x v="0"/>
    <x v="1"/>
    <x v="0"/>
    <n v="277"/>
    <n v="0.27410000000000001"/>
    <n v="0.91800000000000004"/>
    <n v="2.1659000000000002"/>
    <n v="0.52549999999999997"/>
  </r>
  <r>
    <x v="0"/>
    <x v="0"/>
    <x v="1"/>
    <b v="1"/>
    <x v="0"/>
    <x v="1"/>
    <x v="0"/>
    <n v="68"/>
    <n v="0.62050000000000005"/>
    <n v="0.8196"/>
    <n v="1.9851000000000001"/>
    <n v="0.52549999999999997"/>
  </r>
  <r>
    <x v="0"/>
    <x v="2"/>
    <x v="0"/>
    <b v="0"/>
    <x v="0"/>
    <x v="1"/>
    <x v="2"/>
    <n v="74"/>
    <n v="0.34029999999999999"/>
    <n v="0.90139999999999998"/>
    <n v="2.1183999999999998"/>
    <n v="0.52500000000000002"/>
  </r>
  <r>
    <x v="0"/>
    <x v="2"/>
    <x v="0"/>
    <b v="0"/>
    <x v="1"/>
    <x v="0"/>
    <x v="5"/>
    <n v="70"/>
    <n v="1.4016999999999999"/>
    <n v="0.56540000000000001"/>
    <n v="1.7690999999999999"/>
    <n v="0.52500000000000002"/>
  </r>
  <r>
    <x v="0"/>
    <x v="2"/>
    <x v="0"/>
    <b v="0"/>
    <x v="0"/>
    <x v="1"/>
    <x v="5"/>
    <n v="74"/>
    <n v="0.37480000000000002"/>
    <n v="0.89390000000000003"/>
    <n v="2.0472999999999999"/>
    <n v="0.52449999999999997"/>
  </r>
  <r>
    <x v="0"/>
    <x v="2"/>
    <x v="0"/>
    <b v="1"/>
    <x v="0"/>
    <x v="1"/>
    <x v="2"/>
    <n v="136"/>
    <n v="0.38590000000000002"/>
    <n v="0.88580000000000003"/>
    <n v="2.0436000000000001"/>
    <n v="0.52449999999999997"/>
  </r>
  <r>
    <x v="0"/>
    <x v="1"/>
    <x v="1"/>
    <b v="0"/>
    <x v="1"/>
    <x v="1"/>
    <x v="0"/>
    <n v="42"/>
    <n v="0.29199999999999998"/>
    <n v="0.91930000000000001"/>
    <n v="2.2812000000000001"/>
    <n v="0.52449999999999997"/>
  </r>
  <r>
    <x v="0"/>
    <x v="0"/>
    <x v="0"/>
    <b v="1"/>
    <x v="0"/>
    <x v="0"/>
    <x v="5"/>
    <n v="141"/>
    <n v="1.1797"/>
    <n v="0.65010000000000001"/>
    <n v="1.7309000000000001"/>
    <n v="0.52449999999999997"/>
  </r>
  <r>
    <x v="0"/>
    <x v="1"/>
    <x v="1"/>
    <b v="1"/>
    <x v="0"/>
    <x v="0"/>
    <x v="1"/>
    <n v="73"/>
    <n v="0.60950000000000004"/>
    <n v="0.82040000000000002"/>
    <n v="1.9315"/>
    <n v="0.52449999999999997"/>
  </r>
  <r>
    <x v="0"/>
    <x v="1"/>
    <x v="2"/>
    <b v="1"/>
    <x v="0"/>
    <x v="0"/>
    <x v="1"/>
    <n v="283"/>
    <n v="0.52600000000000002"/>
    <n v="0.84609999999999996"/>
    <n v="1.925"/>
    <n v="0.52449999999999997"/>
  </r>
  <r>
    <x v="0"/>
    <x v="0"/>
    <x v="2"/>
    <b v="1"/>
    <x v="1"/>
    <x v="1"/>
    <x v="5"/>
    <n v="292"/>
    <n v="0.78820000000000001"/>
    <n v="0.76500000000000001"/>
    <n v="1.8758999999999999"/>
    <n v="0.52449999999999997"/>
  </r>
  <r>
    <x v="0"/>
    <x v="2"/>
    <x v="0"/>
    <b v="0"/>
    <x v="1"/>
    <x v="1"/>
    <x v="2"/>
    <n v="75"/>
    <n v="0.44819999999999999"/>
    <n v="0.87309999999999999"/>
    <n v="2.0556000000000001"/>
    <n v="0.52400000000000002"/>
  </r>
  <r>
    <x v="0"/>
    <x v="0"/>
    <x v="1"/>
    <b v="0"/>
    <x v="1"/>
    <x v="1"/>
    <x v="2"/>
    <n v="52"/>
    <n v="0.60960000000000003"/>
    <n v="0.8327"/>
    <n v="2.1063000000000001"/>
    <n v="0.52400000000000002"/>
  </r>
  <r>
    <x v="0"/>
    <x v="2"/>
    <x v="2"/>
    <b v="1"/>
    <x v="0"/>
    <x v="1"/>
    <x v="3"/>
    <n v="276"/>
    <n v="0.31559999999999999"/>
    <n v="0.90269999999999995"/>
    <n v="2.2040000000000002"/>
    <n v="0.52400000000000002"/>
  </r>
  <r>
    <x v="0"/>
    <x v="2"/>
    <x v="1"/>
    <b v="1"/>
    <x v="0"/>
    <x v="1"/>
    <x v="1"/>
    <n v="67"/>
    <n v="0.3362"/>
    <n v="0.90290000000000004"/>
    <n v="2.2446999999999999"/>
    <n v="0.52400000000000002"/>
  </r>
  <r>
    <x v="0"/>
    <x v="2"/>
    <x v="2"/>
    <b v="0"/>
    <x v="1"/>
    <x v="0"/>
    <x v="2"/>
    <n v="149"/>
    <n v="1.3005"/>
    <n v="0.60909999999999997"/>
    <n v="1.7415"/>
    <n v="0.52400000000000002"/>
  </r>
  <r>
    <x v="0"/>
    <x v="1"/>
    <x v="0"/>
    <b v="1"/>
    <x v="0"/>
    <x v="0"/>
    <x v="3"/>
    <n v="143"/>
    <n v="0.60440000000000005"/>
    <n v="0.81840000000000002"/>
    <n v="1.8987000000000001"/>
    <n v="0.52349999999999997"/>
  </r>
  <r>
    <x v="0"/>
    <x v="1"/>
    <x v="2"/>
    <b v="1"/>
    <x v="0"/>
    <x v="0"/>
    <x v="3"/>
    <n v="284"/>
    <n v="0.62649999999999995"/>
    <n v="0.8075"/>
    <n v="1.8456999999999999"/>
    <n v="0.52349999999999997"/>
  </r>
  <r>
    <x v="0"/>
    <x v="2"/>
    <x v="1"/>
    <b v="0"/>
    <x v="0"/>
    <x v="1"/>
    <x v="5"/>
    <n v="42"/>
    <n v="0.37509999999999999"/>
    <n v="0.89739999999999998"/>
    <n v="2.1421000000000001"/>
    <n v="0.52349999999999997"/>
  </r>
  <r>
    <x v="0"/>
    <x v="2"/>
    <x v="1"/>
    <b v="1"/>
    <x v="0"/>
    <x v="1"/>
    <x v="4"/>
    <n v="65"/>
    <n v="0.35949999999999999"/>
    <n v="0.89570000000000005"/>
    <n v="2.2016"/>
    <n v="0.52349999999999997"/>
  </r>
  <r>
    <x v="0"/>
    <x v="1"/>
    <x v="1"/>
    <b v="1"/>
    <x v="0"/>
    <x v="0"/>
    <x v="2"/>
    <n v="73"/>
    <n v="0.83760000000000001"/>
    <n v="0.7571"/>
    <n v="1.8589"/>
    <n v="0.52300000000000002"/>
  </r>
  <r>
    <x v="0"/>
    <x v="1"/>
    <x v="0"/>
    <b v="1"/>
    <x v="1"/>
    <x v="0"/>
    <x v="3"/>
    <n v="155"/>
    <n v="0.90869999999999995"/>
    <n v="0.72889999999999999"/>
    <n v="1.7535000000000001"/>
    <n v="0.52300000000000002"/>
  </r>
  <r>
    <x v="0"/>
    <x v="1"/>
    <x v="0"/>
    <b v="0"/>
    <x v="0"/>
    <x v="1"/>
    <x v="4"/>
    <n v="73"/>
    <n v="0.2019"/>
    <n v="0.94499999999999995"/>
    <n v="2.4605999999999999"/>
    <n v="0.52300000000000002"/>
  </r>
  <r>
    <x v="0"/>
    <x v="0"/>
    <x v="1"/>
    <b v="0"/>
    <x v="1"/>
    <x v="1"/>
    <x v="4"/>
    <n v="51"/>
    <n v="0.43640000000000001"/>
    <n v="0.87709999999999999"/>
    <n v="2.3157999999999999"/>
    <n v="0.52300000000000002"/>
  </r>
  <r>
    <x v="0"/>
    <x v="1"/>
    <x v="2"/>
    <b v="1"/>
    <x v="1"/>
    <x v="1"/>
    <x v="1"/>
    <n v="288"/>
    <n v="0.2792"/>
    <n v="0.91679999999999995"/>
    <n v="2.1646000000000001"/>
    <n v="0.52300000000000002"/>
  </r>
  <r>
    <x v="0"/>
    <x v="2"/>
    <x v="0"/>
    <b v="0"/>
    <x v="1"/>
    <x v="1"/>
    <x v="1"/>
    <n v="72"/>
    <n v="0.2843"/>
    <n v="0.91710000000000003"/>
    <n v="2.2926000000000002"/>
    <n v="0.52300000000000002"/>
  </r>
  <r>
    <x v="0"/>
    <x v="2"/>
    <x v="0"/>
    <b v="1"/>
    <x v="1"/>
    <x v="0"/>
    <x v="0"/>
    <n v="142"/>
    <n v="1.0951"/>
    <n v="0.6744"/>
    <n v="1.7304999999999999"/>
    <n v="0.52300000000000002"/>
  </r>
  <r>
    <x v="0"/>
    <x v="0"/>
    <x v="1"/>
    <b v="1"/>
    <x v="0"/>
    <x v="0"/>
    <x v="3"/>
    <n v="74"/>
    <n v="1.04"/>
    <n v="0.69110000000000005"/>
    <n v="1.8428"/>
    <n v="0.52300000000000002"/>
  </r>
  <r>
    <x v="0"/>
    <x v="1"/>
    <x v="0"/>
    <b v="0"/>
    <x v="1"/>
    <x v="0"/>
    <x v="1"/>
    <n v="73"/>
    <n v="0.86870000000000003"/>
    <n v="0.74809999999999999"/>
    <n v="1.8207"/>
    <n v="0.52300000000000002"/>
  </r>
  <r>
    <x v="0"/>
    <x v="0"/>
    <x v="2"/>
    <b v="0"/>
    <x v="1"/>
    <x v="0"/>
    <x v="5"/>
    <n v="172"/>
    <n v="1.4699"/>
    <n v="0.55649999999999999"/>
    <n v="1.7351000000000001"/>
    <n v="0.52300000000000002"/>
  </r>
  <r>
    <x v="0"/>
    <x v="1"/>
    <x v="0"/>
    <b v="1"/>
    <x v="1"/>
    <x v="0"/>
    <x v="5"/>
    <n v="148"/>
    <n v="1.1171"/>
    <n v="0.67190000000000005"/>
    <n v="1.8398000000000001"/>
    <n v="0.52249999999999996"/>
  </r>
  <r>
    <x v="0"/>
    <x v="0"/>
    <x v="0"/>
    <b v="0"/>
    <x v="0"/>
    <x v="1"/>
    <x v="2"/>
    <n v="74"/>
    <n v="0.4491"/>
    <n v="0.86890000000000001"/>
    <n v="2.0800999999999998"/>
    <n v="0.52249999999999996"/>
  </r>
  <r>
    <x v="0"/>
    <x v="1"/>
    <x v="0"/>
    <b v="1"/>
    <x v="1"/>
    <x v="1"/>
    <x v="0"/>
    <n v="160"/>
    <n v="0.41149999999999998"/>
    <n v="0.88239999999999996"/>
    <n v="2.1299000000000001"/>
    <n v="0.52249999999999996"/>
  </r>
  <r>
    <x v="0"/>
    <x v="2"/>
    <x v="1"/>
    <b v="0"/>
    <x v="1"/>
    <x v="1"/>
    <x v="4"/>
    <n v="42"/>
    <n v="0.31519999999999998"/>
    <n v="0.91610000000000003"/>
    <n v="2.3563000000000001"/>
    <n v="0.52249999999999996"/>
  </r>
  <r>
    <x v="0"/>
    <x v="1"/>
    <x v="1"/>
    <b v="1"/>
    <x v="0"/>
    <x v="0"/>
    <x v="3"/>
    <n v="73"/>
    <n v="0.70630000000000004"/>
    <n v="0.79139999999999999"/>
    <n v="1.8762000000000001"/>
    <n v="0.52200000000000002"/>
  </r>
  <r>
    <x v="0"/>
    <x v="2"/>
    <x v="0"/>
    <b v="0"/>
    <x v="0"/>
    <x v="1"/>
    <x v="0"/>
    <n v="74"/>
    <n v="0.29139999999999999"/>
    <n v="0.91690000000000005"/>
    <n v="2.2427999999999999"/>
    <n v="0.52200000000000002"/>
  </r>
  <r>
    <x v="0"/>
    <x v="2"/>
    <x v="1"/>
    <b v="0"/>
    <x v="1"/>
    <x v="1"/>
    <x v="3"/>
    <n v="42"/>
    <n v="0.34799999999999998"/>
    <n v="0.90610000000000002"/>
    <n v="2.2393000000000001"/>
    <n v="0.52200000000000002"/>
  </r>
  <r>
    <x v="0"/>
    <x v="0"/>
    <x v="1"/>
    <b v="1"/>
    <x v="0"/>
    <x v="1"/>
    <x v="3"/>
    <n v="67"/>
    <n v="0.59750000000000003"/>
    <n v="0.82340000000000002"/>
    <n v="1.9742"/>
    <n v="0.52200000000000002"/>
  </r>
  <r>
    <x v="0"/>
    <x v="2"/>
    <x v="0"/>
    <b v="1"/>
    <x v="1"/>
    <x v="1"/>
    <x v="1"/>
    <n v="138"/>
    <n v="0.379"/>
    <n v="0.88719999999999999"/>
    <n v="2.1566999999999998"/>
    <n v="0.52200000000000002"/>
  </r>
  <r>
    <x v="0"/>
    <x v="0"/>
    <x v="0"/>
    <b v="1"/>
    <x v="1"/>
    <x v="0"/>
    <x v="0"/>
    <n v="141"/>
    <n v="1.2904"/>
    <n v="0.61240000000000006"/>
    <n v="1.7975000000000001"/>
    <n v="0.52200000000000002"/>
  </r>
  <r>
    <x v="0"/>
    <x v="0"/>
    <x v="2"/>
    <b v="1"/>
    <x v="1"/>
    <x v="1"/>
    <x v="4"/>
    <n v="295"/>
    <n v="0.52780000000000005"/>
    <n v="0.8458"/>
    <n v="1.9726999999999999"/>
    <n v="0.52149999999999996"/>
  </r>
  <r>
    <x v="0"/>
    <x v="0"/>
    <x v="2"/>
    <b v="0"/>
    <x v="1"/>
    <x v="1"/>
    <x v="5"/>
    <n v="170"/>
    <n v="0.62980000000000003"/>
    <n v="0.81169999999999998"/>
    <n v="1.9017999999999999"/>
    <n v="0.52149999999999996"/>
  </r>
  <r>
    <x v="0"/>
    <x v="0"/>
    <x v="2"/>
    <b v="0"/>
    <x v="0"/>
    <x v="1"/>
    <x v="2"/>
    <n v="159"/>
    <n v="0.4597"/>
    <n v="0.86609999999999998"/>
    <n v="1.9945999999999999"/>
    <n v="0.52149999999999996"/>
  </r>
  <r>
    <x v="0"/>
    <x v="1"/>
    <x v="0"/>
    <b v="1"/>
    <x v="0"/>
    <x v="1"/>
    <x v="0"/>
    <n v="136"/>
    <n v="0.3009"/>
    <n v="0.91080000000000005"/>
    <n v="2.1818"/>
    <n v="0.52149999999999996"/>
  </r>
  <r>
    <x v="0"/>
    <x v="0"/>
    <x v="0"/>
    <b v="1"/>
    <x v="0"/>
    <x v="1"/>
    <x v="0"/>
    <n v="137"/>
    <n v="0.56210000000000004"/>
    <n v="0.83499999999999996"/>
    <n v="2.0411999999999999"/>
    <n v="0.52149999999999996"/>
  </r>
  <r>
    <x v="0"/>
    <x v="0"/>
    <x v="0"/>
    <b v="0"/>
    <x v="0"/>
    <x v="1"/>
    <x v="0"/>
    <n v="74"/>
    <n v="0.4002"/>
    <n v="0.88419999999999999"/>
    <n v="2.0727000000000002"/>
    <n v="0.52149999999999996"/>
  </r>
  <r>
    <x v="0"/>
    <x v="2"/>
    <x v="0"/>
    <b v="0"/>
    <x v="1"/>
    <x v="0"/>
    <x v="2"/>
    <n v="70"/>
    <n v="1.302"/>
    <n v="0.61850000000000005"/>
    <n v="1.7652000000000001"/>
    <n v="0.52149999999999996"/>
  </r>
  <r>
    <x v="0"/>
    <x v="1"/>
    <x v="1"/>
    <b v="1"/>
    <x v="0"/>
    <x v="0"/>
    <x v="0"/>
    <n v="73"/>
    <n v="0.77059999999999995"/>
    <n v="0.77600000000000002"/>
    <n v="1.8566"/>
    <n v="0.52100000000000002"/>
  </r>
  <r>
    <x v="0"/>
    <x v="1"/>
    <x v="2"/>
    <b v="0"/>
    <x v="0"/>
    <x v="0"/>
    <x v="5"/>
    <n v="141"/>
    <n v="1.0416000000000001"/>
    <n v="0.68769999999999998"/>
    <n v="1.7025999999999999"/>
    <n v="0.52100000000000002"/>
  </r>
  <r>
    <x v="0"/>
    <x v="1"/>
    <x v="1"/>
    <b v="0"/>
    <x v="1"/>
    <x v="1"/>
    <x v="2"/>
    <n v="42"/>
    <n v="0.36270000000000002"/>
    <n v="0.90349999999999997"/>
    <n v="2.2126000000000001"/>
    <n v="0.52100000000000002"/>
  </r>
  <r>
    <x v="0"/>
    <x v="0"/>
    <x v="1"/>
    <b v="1"/>
    <x v="0"/>
    <x v="1"/>
    <x v="2"/>
    <n v="67"/>
    <n v="0.68169999999999997"/>
    <n v="0.79879999999999995"/>
    <n v="1.9771000000000001"/>
    <n v="0.52100000000000002"/>
  </r>
  <r>
    <x v="0"/>
    <x v="2"/>
    <x v="1"/>
    <b v="1"/>
    <x v="0"/>
    <x v="1"/>
    <x v="3"/>
    <n v="65"/>
    <n v="0.38279999999999997"/>
    <n v="0.88819999999999999"/>
    <n v="2.1738"/>
    <n v="0.52100000000000002"/>
  </r>
  <r>
    <x v="0"/>
    <x v="2"/>
    <x v="0"/>
    <b v="0"/>
    <x v="1"/>
    <x v="1"/>
    <x v="3"/>
    <n v="74"/>
    <n v="0.34210000000000002"/>
    <n v="0.90339999999999998"/>
    <n v="2.2010999999999998"/>
    <n v="0.52100000000000002"/>
  </r>
  <r>
    <x v="0"/>
    <x v="0"/>
    <x v="1"/>
    <b v="1"/>
    <x v="0"/>
    <x v="0"/>
    <x v="5"/>
    <n v="75"/>
    <n v="1.2063999999999999"/>
    <n v="0.65090000000000003"/>
    <n v="1.8035000000000001"/>
    <n v="0.52100000000000002"/>
  </r>
  <r>
    <x v="0"/>
    <x v="1"/>
    <x v="2"/>
    <b v="1"/>
    <x v="1"/>
    <x v="0"/>
    <x v="0"/>
    <n v="290"/>
    <n v="0.96130000000000004"/>
    <n v="0.71360000000000001"/>
    <n v="1.7736000000000001"/>
    <n v="0.52049999999999996"/>
  </r>
  <r>
    <x v="0"/>
    <x v="2"/>
    <x v="0"/>
    <b v="1"/>
    <x v="1"/>
    <x v="1"/>
    <x v="5"/>
    <n v="138"/>
    <n v="0.62729999999999997"/>
    <n v="0.81630000000000003"/>
    <n v="2.0162"/>
    <n v="0.52049999999999996"/>
  </r>
  <r>
    <x v="0"/>
    <x v="0"/>
    <x v="1"/>
    <b v="1"/>
    <x v="1"/>
    <x v="1"/>
    <x v="5"/>
    <n v="69"/>
    <n v="0.93140000000000001"/>
    <n v="0.72340000000000004"/>
    <n v="1.9557"/>
    <n v="0.52049999999999996"/>
  </r>
  <r>
    <x v="0"/>
    <x v="2"/>
    <x v="2"/>
    <b v="1"/>
    <x v="0"/>
    <x v="1"/>
    <x v="0"/>
    <n v="277"/>
    <n v="0.35120000000000001"/>
    <n v="0.89639999999999997"/>
    <n v="2.0709"/>
    <n v="0.52049999999999996"/>
  </r>
  <r>
    <x v="0"/>
    <x v="0"/>
    <x v="1"/>
    <b v="1"/>
    <x v="1"/>
    <x v="1"/>
    <x v="0"/>
    <n v="69"/>
    <n v="0.78180000000000005"/>
    <n v="0.76549999999999996"/>
    <n v="1.9753000000000001"/>
    <n v="0.52049999999999996"/>
  </r>
  <r>
    <x v="0"/>
    <x v="1"/>
    <x v="2"/>
    <b v="0"/>
    <x v="1"/>
    <x v="1"/>
    <x v="1"/>
    <n v="165"/>
    <n v="0.2069"/>
    <n v="0.94099999999999995"/>
    <n v="2.3220000000000001"/>
    <n v="0.52049999999999996"/>
  </r>
  <r>
    <x v="0"/>
    <x v="1"/>
    <x v="1"/>
    <b v="1"/>
    <x v="1"/>
    <x v="0"/>
    <x v="5"/>
    <n v="85"/>
    <n v="1.2235"/>
    <n v="0.63370000000000004"/>
    <n v="1.8409"/>
    <n v="0.52"/>
  </r>
  <r>
    <x v="0"/>
    <x v="1"/>
    <x v="0"/>
    <b v="1"/>
    <x v="1"/>
    <x v="0"/>
    <x v="4"/>
    <n v="150"/>
    <n v="0.85370000000000001"/>
    <n v="0.746"/>
    <n v="1.8445"/>
    <n v="0.52"/>
  </r>
  <r>
    <x v="0"/>
    <x v="0"/>
    <x v="2"/>
    <b v="1"/>
    <x v="0"/>
    <x v="1"/>
    <x v="0"/>
    <n v="279"/>
    <n v="0.52839999999999998"/>
    <n v="0.84009999999999996"/>
    <n v="1.9854000000000001"/>
    <n v="0.52"/>
  </r>
  <r>
    <x v="0"/>
    <x v="2"/>
    <x v="1"/>
    <b v="0"/>
    <x v="0"/>
    <x v="1"/>
    <x v="3"/>
    <n v="42"/>
    <n v="0.28249999999999997"/>
    <n v="0.92330000000000001"/>
    <n v="2.3155999999999999"/>
    <n v="0.52"/>
  </r>
  <r>
    <x v="0"/>
    <x v="2"/>
    <x v="2"/>
    <b v="0"/>
    <x v="1"/>
    <x v="1"/>
    <x v="4"/>
    <n v="142"/>
    <n v="0.27900000000000003"/>
    <n v="0.92120000000000002"/>
    <n v="2.2178"/>
    <n v="0.52"/>
  </r>
  <r>
    <x v="0"/>
    <x v="1"/>
    <x v="0"/>
    <b v="0"/>
    <x v="1"/>
    <x v="0"/>
    <x v="2"/>
    <n v="73"/>
    <n v="1.1686000000000001"/>
    <n v="0.66080000000000005"/>
    <n v="1.7612000000000001"/>
    <n v="0.51949999999999996"/>
  </r>
  <r>
    <x v="0"/>
    <x v="0"/>
    <x v="1"/>
    <b v="0"/>
    <x v="1"/>
    <x v="1"/>
    <x v="5"/>
    <n v="50"/>
    <n v="0.70079999999999998"/>
    <n v="0.80569999999999997"/>
    <n v="2.0188000000000001"/>
    <n v="0.51949999999999996"/>
  </r>
  <r>
    <x v="0"/>
    <x v="0"/>
    <x v="0"/>
    <b v="0"/>
    <x v="0"/>
    <x v="1"/>
    <x v="1"/>
    <n v="74"/>
    <n v="0.2954"/>
    <n v="0.91539999999999999"/>
    <n v="2.1894"/>
    <n v="0.51949999999999996"/>
  </r>
  <r>
    <x v="0"/>
    <x v="2"/>
    <x v="1"/>
    <b v="0"/>
    <x v="1"/>
    <x v="0"/>
    <x v="2"/>
    <n v="41"/>
    <n v="1.4161999999999999"/>
    <n v="0.56740000000000002"/>
    <n v="1.8145"/>
    <n v="0.51900000000000002"/>
  </r>
  <r>
    <x v="0"/>
    <x v="2"/>
    <x v="0"/>
    <b v="1"/>
    <x v="0"/>
    <x v="1"/>
    <x v="5"/>
    <n v="137"/>
    <n v="0.432"/>
    <n v="0.87450000000000006"/>
    <n v="2.081"/>
    <n v="0.51900000000000002"/>
  </r>
  <r>
    <x v="0"/>
    <x v="2"/>
    <x v="0"/>
    <b v="0"/>
    <x v="1"/>
    <x v="1"/>
    <x v="5"/>
    <n v="75"/>
    <n v="0.51600000000000001"/>
    <n v="0.85450000000000004"/>
    <n v="2.0274000000000001"/>
    <n v="0.51900000000000002"/>
  </r>
  <r>
    <x v="0"/>
    <x v="0"/>
    <x v="0"/>
    <b v="1"/>
    <x v="1"/>
    <x v="1"/>
    <x v="0"/>
    <n v="139"/>
    <n v="0.69059999999999999"/>
    <n v="0.79349999999999998"/>
    <n v="2.0634000000000001"/>
    <n v="0.51900000000000002"/>
  </r>
  <r>
    <x v="0"/>
    <x v="1"/>
    <x v="2"/>
    <b v="1"/>
    <x v="1"/>
    <x v="1"/>
    <x v="3"/>
    <n v="287"/>
    <n v="0.34339999999999998"/>
    <n v="0.89710000000000001"/>
    <n v="2.0678000000000001"/>
    <n v="0.51900000000000002"/>
  </r>
  <r>
    <x v="0"/>
    <x v="0"/>
    <x v="0"/>
    <b v="1"/>
    <x v="0"/>
    <x v="1"/>
    <x v="4"/>
    <n v="137"/>
    <n v="0.46960000000000002"/>
    <n v="0.85850000000000004"/>
    <n v="2.1377000000000002"/>
    <n v="0.51900000000000002"/>
  </r>
  <r>
    <x v="0"/>
    <x v="1"/>
    <x v="0"/>
    <b v="1"/>
    <x v="1"/>
    <x v="1"/>
    <x v="1"/>
    <n v="146"/>
    <n v="0.28910000000000002"/>
    <n v="0.91659999999999997"/>
    <n v="2.2149000000000001"/>
    <n v="0.51900000000000002"/>
  </r>
  <r>
    <x v="0"/>
    <x v="1"/>
    <x v="2"/>
    <b v="1"/>
    <x v="0"/>
    <x v="1"/>
    <x v="4"/>
    <n v="279"/>
    <n v="0.23680000000000001"/>
    <n v="0.9294"/>
    <n v="2.4559000000000002"/>
    <n v="0.51849999999999996"/>
  </r>
  <r>
    <x v="0"/>
    <x v="1"/>
    <x v="2"/>
    <b v="0"/>
    <x v="1"/>
    <x v="1"/>
    <x v="4"/>
    <n v="165"/>
    <n v="0.23810000000000001"/>
    <n v="0.93310000000000004"/>
    <n v="2.2755000000000001"/>
    <n v="0.51849999999999996"/>
  </r>
  <r>
    <x v="0"/>
    <x v="1"/>
    <x v="2"/>
    <b v="1"/>
    <x v="0"/>
    <x v="1"/>
    <x v="1"/>
    <n v="278"/>
    <n v="0.19950000000000001"/>
    <n v="0.9415"/>
    <n v="2.3853"/>
    <n v="0.51849999999999996"/>
  </r>
  <r>
    <x v="0"/>
    <x v="0"/>
    <x v="1"/>
    <b v="0"/>
    <x v="0"/>
    <x v="1"/>
    <x v="1"/>
    <n v="50"/>
    <n v="0.29049999999999998"/>
    <n v="0.91949999999999998"/>
    <n v="2.3374999999999999"/>
    <n v="0.51800000000000002"/>
  </r>
  <r>
    <x v="0"/>
    <x v="2"/>
    <x v="2"/>
    <b v="1"/>
    <x v="0"/>
    <x v="1"/>
    <x v="2"/>
    <n v="276"/>
    <n v="0.38200000000000001"/>
    <n v="0.89019999999999999"/>
    <n v="2.0808"/>
    <n v="0.51749999999999996"/>
  </r>
  <r>
    <x v="0"/>
    <x v="1"/>
    <x v="1"/>
    <b v="0"/>
    <x v="0"/>
    <x v="1"/>
    <x v="0"/>
    <n v="49"/>
    <n v="0.2641"/>
    <n v="0.93030000000000002"/>
    <n v="2.3824999999999998"/>
    <n v="0.51749999999999996"/>
  </r>
  <r>
    <x v="0"/>
    <x v="1"/>
    <x v="0"/>
    <b v="1"/>
    <x v="0"/>
    <x v="1"/>
    <x v="1"/>
    <n v="136"/>
    <n v="0.22189999999999999"/>
    <n v="0.93630000000000002"/>
    <n v="2.3210000000000002"/>
    <n v="0.51749999999999996"/>
  </r>
  <r>
    <x v="0"/>
    <x v="0"/>
    <x v="1"/>
    <b v="0"/>
    <x v="1"/>
    <x v="0"/>
    <x v="3"/>
    <n v="42"/>
    <n v="1.3592"/>
    <n v="0.58840000000000003"/>
    <n v="1.7844"/>
    <n v="0.51749999999999996"/>
  </r>
  <r>
    <x v="0"/>
    <x v="0"/>
    <x v="0"/>
    <b v="0"/>
    <x v="1"/>
    <x v="0"/>
    <x v="2"/>
    <n v="75"/>
    <n v="1.4133"/>
    <n v="0.57010000000000005"/>
    <n v="1.7689999999999999"/>
    <n v="0.51749999999999996"/>
  </r>
  <r>
    <x v="0"/>
    <x v="2"/>
    <x v="1"/>
    <b v="0"/>
    <x v="0"/>
    <x v="0"/>
    <x v="5"/>
    <n v="41"/>
    <n v="1.0705"/>
    <n v="0.69189999999999996"/>
    <n v="1.8419000000000001"/>
    <n v="0.51700000000000002"/>
  </r>
  <r>
    <x v="0"/>
    <x v="0"/>
    <x v="0"/>
    <b v="0"/>
    <x v="0"/>
    <x v="1"/>
    <x v="5"/>
    <n v="75"/>
    <n v="0.49"/>
    <n v="0.85780000000000001"/>
    <n v="1.9907999999999999"/>
    <n v="0.51700000000000002"/>
  </r>
  <r>
    <x v="0"/>
    <x v="2"/>
    <x v="2"/>
    <b v="1"/>
    <x v="1"/>
    <x v="1"/>
    <x v="4"/>
    <n v="286"/>
    <n v="0.41260000000000002"/>
    <n v="0.87290000000000001"/>
    <n v="2.1576"/>
    <n v="0.51700000000000002"/>
  </r>
  <r>
    <x v="0"/>
    <x v="0"/>
    <x v="1"/>
    <b v="1"/>
    <x v="0"/>
    <x v="1"/>
    <x v="4"/>
    <n v="67"/>
    <n v="0.54579999999999995"/>
    <n v="0.8397"/>
    <n v="2.0640000000000001"/>
    <n v="0.51700000000000002"/>
  </r>
  <r>
    <x v="0"/>
    <x v="0"/>
    <x v="1"/>
    <b v="1"/>
    <x v="0"/>
    <x v="0"/>
    <x v="0"/>
    <n v="74"/>
    <n v="1.0953999999999999"/>
    <n v="0.67879999999999996"/>
    <n v="1.8203"/>
    <n v="0.51700000000000002"/>
  </r>
  <r>
    <x v="0"/>
    <x v="1"/>
    <x v="1"/>
    <b v="0"/>
    <x v="1"/>
    <x v="0"/>
    <x v="2"/>
    <n v="42"/>
    <n v="1.2597"/>
    <n v="0.62790000000000001"/>
    <n v="1.8278000000000001"/>
    <n v="0.51649999999999996"/>
  </r>
  <r>
    <x v="0"/>
    <x v="1"/>
    <x v="1"/>
    <b v="0"/>
    <x v="0"/>
    <x v="1"/>
    <x v="5"/>
    <n v="49"/>
    <n v="0.34620000000000001"/>
    <n v="0.9073"/>
    <n v="2.2025999999999999"/>
    <n v="0.51649999999999996"/>
  </r>
  <r>
    <x v="0"/>
    <x v="2"/>
    <x v="1"/>
    <b v="1"/>
    <x v="0"/>
    <x v="1"/>
    <x v="5"/>
    <n v="66"/>
    <n v="0.5272"/>
    <n v="0.84350000000000003"/>
    <n v="2.0882999999999998"/>
    <n v="0.51649999999999996"/>
  </r>
  <r>
    <x v="0"/>
    <x v="2"/>
    <x v="2"/>
    <b v="0"/>
    <x v="0"/>
    <x v="1"/>
    <x v="2"/>
    <n v="141"/>
    <n v="0.35859999999999997"/>
    <n v="0.8962"/>
    <n v="2.1006999999999998"/>
    <n v="0.51649999999999996"/>
  </r>
  <r>
    <x v="0"/>
    <x v="2"/>
    <x v="2"/>
    <b v="1"/>
    <x v="1"/>
    <x v="1"/>
    <x v="1"/>
    <n v="287"/>
    <n v="0.36799999999999999"/>
    <n v="0.88959999999999995"/>
    <n v="2.1472000000000002"/>
    <n v="0.51649999999999996"/>
  </r>
  <r>
    <x v="0"/>
    <x v="0"/>
    <x v="0"/>
    <b v="1"/>
    <x v="1"/>
    <x v="1"/>
    <x v="3"/>
    <n v="139"/>
    <n v="0.63870000000000005"/>
    <n v="0.80889999999999995"/>
    <n v="1.9262999999999999"/>
    <n v="0.51600000000000001"/>
  </r>
  <r>
    <x v="0"/>
    <x v="2"/>
    <x v="2"/>
    <b v="1"/>
    <x v="0"/>
    <x v="1"/>
    <x v="1"/>
    <n v="277"/>
    <n v="0.2505"/>
    <n v="0.92559999999999998"/>
    <n v="2.2677"/>
    <n v="0.51600000000000001"/>
  </r>
  <r>
    <x v="0"/>
    <x v="0"/>
    <x v="1"/>
    <b v="1"/>
    <x v="1"/>
    <x v="1"/>
    <x v="1"/>
    <n v="69"/>
    <n v="0.63300000000000001"/>
    <n v="0.81189999999999996"/>
    <n v="2.0367000000000002"/>
    <n v="0.51600000000000001"/>
  </r>
  <r>
    <x v="0"/>
    <x v="2"/>
    <x v="2"/>
    <b v="0"/>
    <x v="1"/>
    <x v="0"/>
    <x v="5"/>
    <n v="151"/>
    <n v="1.3915999999999999"/>
    <n v="0.58009999999999995"/>
    <n v="1.7938000000000001"/>
    <n v="0.51600000000000001"/>
  </r>
  <r>
    <x v="0"/>
    <x v="0"/>
    <x v="0"/>
    <b v="1"/>
    <x v="1"/>
    <x v="0"/>
    <x v="2"/>
    <n v="142"/>
    <n v="1.3315999999999999"/>
    <n v="0.59789999999999999"/>
    <n v="1.766"/>
    <n v="0.51600000000000001"/>
  </r>
  <r>
    <x v="0"/>
    <x v="2"/>
    <x v="1"/>
    <b v="1"/>
    <x v="0"/>
    <x v="1"/>
    <x v="0"/>
    <n v="66"/>
    <n v="0.42030000000000001"/>
    <n v="0.87839999999999996"/>
    <n v="2.0701999999999998"/>
    <n v="0.51549999999999996"/>
  </r>
  <r>
    <x v="0"/>
    <x v="1"/>
    <x v="2"/>
    <b v="0"/>
    <x v="1"/>
    <x v="0"/>
    <x v="5"/>
    <n v="150"/>
    <n v="1.2789999999999999"/>
    <n v="0.61319999999999997"/>
    <n v="1.7802"/>
    <n v="0.51500000000000001"/>
  </r>
  <r>
    <x v="0"/>
    <x v="2"/>
    <x v="1"/>
    <b v="0"/>
    <x v="0"/>
    <x v="1"/>
    <x v="2"/>
    <n v="42"/>
    <n v="0.33589999999999998"/>
    <n v="0.90939999999999999"/>
    <n v="2.2324000000000002"/>
    <n v="0.51500000000000001"/>
  </r>
  <r>
    <x v="0"/>
    <x v="0"/>
    <x v="1"/>
    <b v="0"/>
    <x v="0"/>
    <x v="1"/>
    <x v="2"/>
    <n v="49"/>
    <n v="0.44769999999999999"/>
    <n v="0.875"/>
    <n v="2.1781000000000001"/>
    <n v="0.51500000000000001"/>
  </r>
  <r>
    <x v="0"/>
    <x v="1"/>
    <x v="0"/>
    <b v="1"/>
    <x v="1"/>
    <x v="1"/>
    <x v="4"/>
    <n v="149"/>
    <n v="0.315"/>
    <n v="0.90790000000000004"/>
    <n v="2.2054"/>
    <n v="0.51500000000000001"/>
  </r>
  <r>
    <x v="0"/>
    <x v="1"/>
    <x v="1"/>
    <b v="0"/>
    <x v="1"/>
    <x v="1"/>
    <x v="1"/>
    <n v="42"/>
    <n v="0.2011"/>
    <n v="0.9456"/>
    <n v="2.4836"/>
    <n v="0.51500000000000001"/>
  </r>
  <r>
    <x v="0"/>
    <x v="1"/>
    <x v="0"/>
    <b v="1"/>
    <x v="1"/>
    <x v="1"/>
    <x v="5"/>
    <n v="148"/>
    <n v="0.49769999999999998"/>
    <n v="0.85619999999999996"/>
    <n v="2.0568"/>
    <n v="0.51449999999999996"/>
  </r>
  <r>
    <x v="0"/>
    <x v="0"/>
    <x v="0"/>
    <b v="0"/>
    <x v="0"/>
    <x v="1"/>
    <x v="4"/>
    <n v="75"/>
    <n v="0.31830000000000003"/>
    <n v="0.90749999999999997"/>
    <n v="2.2692000000000001"/>
    <n v="0.51449999999999996"/>
  </r>
  <r>
    <x v="0"/>
    <x v="2"/>
    <x v="2"/>
    <b v="1"/>
    <x v="1"/>
    <x v="1"/>
    <x v="2"/>
    <n v="285"/>
    <n v="0.51529999999999998"/>
    <n v="0.84440000000000004"/>
    <n v="2.0659000000000001"/>
    <n v="0.51400000000000001"/>
  </r>
  <r>
    <x v="0"/>
    <x v="1"/>
    <x v="1"/>
    <b v="1"/>
    <x v="1"/>
    <x v="1"/>
    <x v="0"/>
    <n v="68"/>
    <n v="0.45100000000000001"/>
    <n v="0.86899999999999999"/>
    <n v="2.3031999999999999"/>
    <n v="0.51400000000000001"/>
  </r>
  <r>
    <x v="0"/>
    <x v="1"/>
    <x v="2"/>
    <b v="1"/>
    <x v="1"/>
    <x v="1"/>
    <x v="0"/>
    <n v="288"/>
    <n v="0.39810000000000001"/>
    <n v="0.88290000000000002"/>
    <n v="2.0716999999999999"/>
    <n v="0.51400000000000001"/>
  </r>
  <r>
    <x v="0"/>
    <x v="2"/>
    <x v="0"/>
    <b v="1"/>
    <x v="0"/>
    <x v="1"/>
    <x v="0"/>
    <n v="137"/>
    <n v="0.33839999999999998"/>
    <n v="0.9002"/>
    <n v="2.2532000000000001"/>
    <n v="0.51400000000000001"/>
  </r>
  <r>
    <x v="0"/>
    <x v="0"/>
    <x v="1"/>
    <b v="1"/>
    <x v="1"/>
    <x v="1"/>
    <x v="4"/>
    <n v="69"/>
    <n v="0.67290000000000005"/>
    <n v="0.80330000000000001"/>
    <n v="2.0840999999999998"/>
    <n v="0.51400000000000001"/>
  </r>
  <r>
    <x v="0"/>
    <x v="1"/>
    <x v="1"/>
    <b v="0"/>
    <x v="0"/>
    <x v="0"/>
    <x v="5"/>
    <n v="47"/>
    <n v="0.94969999999999999"/>
    <n v="0.72660000000000002"/>
    <n v="1.8725000000000001"/>
    <n v="0.51349999999999996"/>
  </r>
  <r>
    <x v="0"/>
    <x v="1"/>
    <x v="0"/>
    <b v="1"/>
    <x v="0"/>
    <x v="0"/>
    <x v="5"/>
    <n v="143"/>
    <n v="0.78190000000000004"/>
    <n v="0.7671"/>
    <n v="1.8338000000000001"/>
    <n v="0.51349999999999996"/>
  </r>
  <r>
    <x v="0"/>
    <x v="1"/>
    <x v="2"/>
    <b v="1"/>
    <x v="0"/>
    <x v="1"/>
    <x v="5"/>
    <n v="277"/>
    <n v="0.35010000000000002"/>
    <n v="0.89949999999999997"/>
    <n v="2.2465999999999999"/>
    <n v="0.51349999999999996"/>
  </r>
  <r>
    <x v="0"/>
    <x v="2"/>
    <x v="0"/>
    <b v="1"/>
    <x v="0"/>
    <x v="1"/>
    <x v="4"/>
    <n v="137"/>
    <n v="0.29049999999999998"/>
    <n v="0.91359999999999997"/>
    <n v="2.2294999999999998"/>
    <n v="0.51349999999999996"/>
  </r>
  <r>
    <x v="0"/>
    <x v="0"/>
    <x v="2"/>
    <b v="1"/>
    <x v="1"/>
    <x v="1"/>
    <x v="3"/>
    <n v="295"/>
    <n v="0.59670000000000001"/>
    <n v="0.82010000000000005"/>
    <n v="1.9656"/>
    <n v="0.51300000000000001"/>
  </r>
  <r>
    <x v="0"/>
    <x v="1"/>
    <x v="0"/>
    <b v="1"/>
    <x v="0"/>
    <x v="1"/>
    <x v="3"/>
    <n v="136"/>
    <n v="0.25779999999999997"/>
    <n v="0.92449999999999999"/>
    <n v="2.3691"/>
    <n v="0.51300000000000001"/>
  </r>
  <r>
    <x v="0"/>
    <x v="2"/>
    <x v="1"/>
    <b v="0"/>
    <x v="0"/>
    <x v="1"/>
    <x v="4"/>
    <n v="42"/>
    <n v="0.25309999999999999"/>
    <n v="0.93149999999999999"/>
    <n v="2.4828000000000001"/>
    <n v="0.51300000000000001"/>
  </r>
  <r>
    <x v="0"/>
    <x v="0"/>
    <x v="1"/>
    <b v="1"/>
    <x v="1"/>
    <x v="0"/>
    <x v="3"/>
    <n v="72"/>
    <n v="1.3821000000000001"/>
    <n v="0.58209999999999995"/>
    <n v="1.861"/>
    <n v="0.51300000000000001"/>
  </r>
  <r>
    <x v="0"/>
    <x v="2"/>
    <x v="1"/>
    <b v="1"/>
    <x v="1"/>
    <x v="0"/>
    <x v="5"/>
    <n v="72"/>
    <n v="1.3460000000000001"/>
    <n v="0.60389999999999999"/>
    <n v="1.8489"/>
    <n v="0.51249999999999996"/>
  </r>
  <r>
    <x v="0"/>
    <x v="2"/>
    <x v="1"/>
    <b v="1"/>
    <x v="1"/>
    <x v="1"/>
    <x v="1"/>
    <n v="68"/>
    <n v="0.46660000000000001"/>
    <n v="0.86419999999999997"/>
    <n v="2.2528000000000001"/>
    <n v="0.51249999999999996"/>
  </r>
  <r>
    <x v="0"/>
    <x v="1"/>
    <x v="1"/>
    <b v="0"/>
    <x v="1"/>
    <x v="1"/>
    <x v="5"/>
    <n v="42"/>
    <n v="0.41570000000000001"/>
    <n v="0.88900000000000001"/>
    <n v="2.1686999999999999"/>
    <n v="0.51200000000000001"/>
  </r>
  <r>
    <x v="0"/>
    <x v="0"/>
    <x v="0"/>
    <b v="1"/>
    <x v="1"/>
    <x v="1"/>
    <x v="5"/>
    <n v="140"/>
    <n v="0.83530000000000004"/>
    <n v="0.74639999999999995"/>
    <n v="1.9842"/>
    <n v="0.51200000000000001"/>
  </r>
  <r>
    <x v="0"/>
    <x v="1"/>
    <x v="2"/>
    <b v="0"/>
    <x v="1"/>
    <x v="1"/>
    <x v="3"/>
    <n v="165"/>
    <n v="0.26150000000000001"/>
    <n v="0.92630000000000001"/>
    <n v="2.2892999999999999"/>
    <n v="0.51200000000000001"/>
  </r>
  <r>
    <x v="0"/>
    <x v="2"/>
    <x v="0"/>
    <b v="1"/>
    <x v="0"/>
    <x v="0"/>
    <x v="4"/>
    <n v="141"/>
    <n v="0.70479999999999998"/>
    <n v="0.79400000000000004"/>
    <n v="1.9567000000000001"/>
    <n v="0.51149999999999995"/>
  </r>
  <r>
    <x v="0"/>
    <x v="1"/>
    <x v="2"/>
    <b v="0"/>
    <x v="0"/>
    <x v="1"/>
    <x v="1"/>
    <n v="138"/>
    <n v="0.1709"/>
    <n v="0.95169999999999999"/>
    <n v="2.4615999999999998"/>
    <n v="0.51149999999999995"/>
  </r>
  <r>
    <x v="0"/>
    <x v="2"/>
    <x v="1"/>
    <b v="0"/>
    <x v="0"/>
    <x v="1"/>
    <x v="1"/>
    <n v="42"/>
    <n v="0.23949999999999999"/>
    <n v="0.93369999999999997"/>
    <n v="2.3561000000000001"/>
    <n v="0.51149999999999995"/>
  </r>
  <r>
    <x v="0"/>
    <x v="0"/>
    <x v="1"/>
    <b v="0"/>
    <x v="1"/>
    <x v="0"/>
    <x v="4"/>
    <n v="41"/>
    <n v="1.2730999999999999"/>
    <n v="0.62070000000000003"/>
    <n v="1.7847999999999999"/>
    <n v="0.51149999999999995"/>
  </r>
  <r>
    <x v="0"/>
    <x v="0"/>
    <x v="0"/>
    <b v="1"/>
    <x v="1"/>
    <x v="1"/>
    <x v="2"/>
    <n v="140"/>
    <n v="0.76139999999999997"/>
    <n v="0.76659999999999995"/>
    <n v="1.9433"/>
    <n v="0.51100000000000001"/>
  </r>
  <r>
    <x v="0"/>
    <x v="2"/>
    <x v="0"/>
    <b v="1"/>
    <x v="1"/>
    <x v="1"/>
    <x v="3"/>
    <n v="139"/>
    <n v="0.4446"/>
    <n v="0.87170000000000003"/>
    <n v="2.1677"/>
    <n v="0.51100000000000001"/>
  </r>
  <r>
    <x v="0"/>
    <x v="2"/>
    <x v="0"/>
    <b v="1"/>
    <x v="1"/>
    <x v="1"/>
    <x v="4"/>
    <n v="139"/>
    <n v="0.41460000000000002"/>
    <n v="0.87639999999999996"/>
    <n v="2.2157"/>
    <n v="0.51100000000000001"/>
  </r>
  <r>
    <x v="0"/>
    <x v="2"/>
    <x v="2"/>
    <b v="0"/>
    <x v="0"/>
    <x v="1"/>
    <x v="5"/>
    <n v="142"/>
    <n v="0.4178"/>
    <n v="0.88149999999999995"/>
    <n v="2.1459000000000001"/>
    <n v="0.51"/>
  </r>
  <r>
    <x v="0"/>
    <x v="2"/>
    <x v="2"/>
    <b v="1"/>
    <x v="1"/>
    <x v="1"/>
    <x v="5"/>
    <n v="285"/>
    <n v="0.61939999999999995"/>
    <n v="0.81810000000000005"/>
    <n v="1.9811000000000001"/>
    <n v="0.50949999999999995"/>
  </r>
  <r>
    <x v="0"/>
    <x v="1"/>
    <x v="0"/>
    <b v="1"/>
    <x v="1"/>
    <x v="1"/>
    <x v="2"/>
    <n v="150"/>
    <n v="0.43869999999999998"/>
    <n v="0.87090000000000001"/>
    <n v="2.2199"/>
    <n v="0.50949999999999995"/>
  </r>
  <r>
    <x v="0"/>
    <x v="1"/>
    <x v="0"/>
    <b v="0"/>
    <x v="0"/>
    <x v="1"/>
    <x v="2"/>
    <n v="74"/>
    <n v="0.25919999999999999"/>
    <n v="0.9325"/>
    <n v="2.4001999999999999"/>
    <n v="0.50949999999999995"/>
  </r>
  <r>
    <x v="0"/>
    <x v="0"/>
    <x v="1"/>
    <b v="0"/>
    <x v="1"/>
    <x v="0"/>
    <x v="2"/>
    <n v="42"/>
    <n v="1.5009999999999999"/>
    <n v="0.54369999999999996"/>
    <n v="1.806"/>
    <n v="0.50949999999999995"/>
  </r>
  <r>
    <x v="0"/>
    <x v="2"/>
    <x v="1"/>
    <b v="1"/>
    <x v="0"/>
    <x v="1"/>
    <x v="2"/>
    <n v="65"/>
    <n v="0.46439999999999998"/>
    <n v="0.86680000000000001"/>
    <n v="2.0293000000000001"/>
    <n v="0.50949999999999995"/>
  </r>
  <r>
    <x v="0"/>
    <x v="2"/>
    <x v="1"/>
    <b v="1"/>
    <x v="1"/>
    <x v="1"/>
    <x v="4"/>
    <n v="68"/>
    <n v="0.48089999999999999"/>
    <n v="0.86009999999999998"/>
    <n v="2.1869999999999998"/>
    <n v="0.50949999999999995"/>
  </r>
  <r>
    <x v="0"/>
    <x v="1"/>
    <x v="0"/>
    <b v="0"/>
    <x v="0"/>
    <x v="1"/>
    <x v="5"/>
    <n v="79"/>
    <n v="0.29220000000000002"/>
    <n v="0.92030000000000001"/>
    <n v="2.2658"/>
    <n v="0.50900000000000001"/>
  </r>
  <r>
    <x v="0"/>
    <x v="2"/>
    <x v="0"/>
    <b v="0"/>
    <x v="0"/>
    <x v="1"/>
    <x v="1"/>
    <n v="74"/>
    <n v="0.2331"/>
    <n v="0.93540000000000001"/>
    <n v="2.2743000000000002"/>
    <n v="0.50900000000000001"/>
  </r>
  <r>
    <x v="0"/>
    <x v="0"/>
    <x v="1"/>
    <b v="1"/>
    <x v="1"/>
    <x v="0"/>
    <x v="0"/>
    <n v="73"/>
    <n v="1.4428000000000001"/>
    <n v="0.56999999999999995"/>
    <n v="1.8110999999999999"/>
    <n v="0.50849999999999995"/>
  </r>
  <r>
    <x v="0"/>
    <x v="2"/>
    <x v="1"/>
    <b v="1"/>
    <x v="1"/>
    <x v="1"/>
    <x v="5"/>
    <n v="69"/>
    <n v="0.72709999999999997"/>
    <n v="0.78310000000000002"/>
    <n v="1.9955000000000001"/>
    <n v="0.50849999999999995"/>
  </r>
  <r>
    <x v="0"/>
    <x v="2"/>
    <x v="2"/>
    <b v="1"/>
    <x v="1"/>
    <x v="1"/>
    <x v="0"/>
    <n v="285"/>
    <n v="0.48449999999999999"/>
    <n v="0.85640000000000005"/>
    <n v="2.1589"/>
    <n v="0.50849999999999995"/>
  </r>
  <r>
    <x v="0"/>
    <x v="0"/>
    <x v="0"/>
    <b v="1"/>
    <x v="1"/>
    <x v="0"/>
    <x v="5"/>
    <n v="141"/>
    <n v="1.4160999999999999"/>
    <n v="0.57169999999999999"/>
    <n v="1.7901"/>
    <n v="0.50849999999999995"/>
  </r>
  <r>
    <x v="0"/>
    <x v="0"/>
    <x v="2"/>
    <b v="1"/>
    <x v="1"/>
    <x v="1"/>
    <x v="2"/>
    <n v="291"/>
    <n v="0.68669999999999998"/>
    <n v="0.7954"/>
    <n v="1.8613999999999999"/>
    <n v="0.50800000000000001"/>
  </r>
  <r>
    <x v="0"/>
    <x v="2"/>
    <x v="2"/>
    <b v="1"/>
    <x v="0"/>
    <x v="0"/>
    <x v="5"/>
    <n v="286"/>
    <n v="1.0387999999999999"/>
    <n v="0.68959999999999999"/>
    <n v="1.8593999999999999"/>
    <n v="0.50800000000000001"/>
  </r>
  <r>
    <x v="0"/>
    <x v="0"/>
    <x v="1"/>
    <b v="1"/>
    <x v="0"/>
    <x v="1"/>
    <x v="5"/>
    <n v="67"/>
    <n v="0.79420000000000002"/>
    <n v="0.76200000000000001"/>
    <n v="1.9160999999999999"/>
    <n v="0.50800000000000001"/>
  </r>
  <r>
    <x v="0"/>
    <x v="0"/>
    <x v="2"/>
    <b v="1"/>
    <x v="0"/>
    <x v="1"/>
    <x v="5"/>
    <n v="277"/>
    <n v="0.63790000000000002"/>
    <n v="0.81389999999999996"/>
    <n v="1.9033"/>
    <n v="0.50800000000000001"/>
  </r>
  <r>
    <x v="0"/>
    <x v="2"/>
    <x v="0"/>
    <b v="1"/>
    <x v="1"/>
    <x v="1"/>
    <x v="0"/>
    <n v="139"/>
    <n v="0.50800000000000001"/>
    <n v="0.85309999999999997"/>
    <n v="2.1827000000000001"/>
    <n v="0.50800000000000001"/>
  </r>
  <r>
    <x v="0"/>
    <x v="1"/>
    <x v="1"/>
    <b v="1"/>
    <x v="1"/>
    <x v="1"/>
    <x v="3"/>
    <n v="79"/>
    <n v="0.39979999999999999"/>
    <n v="0.88200000000000001"/>
    <n v="2.3546"/>
    <n v="0.50800000000000001"/>
  </r>
  <r>
    <x v="0"/>
    <x v="2"/>
    <x v="2"/>
    <b v="0"/>
    <x v="0"/>
    <x v="1"/>
    <x v="4"/>
    <n v="142"/>
    <n v="0.25359999999999999"/>
    <n v="0.92490000000000006"/>
    <n v="2.2517999999999998"/>
    <n v="0.50749999999999995"/>
  </r>
  <r>
    <x v="0"/>
    <x v="0"/>
    <x v="0"/>
    <b v="1"/>
    <x v="1"/>
    <x v="1"/>
    <x v="4"/>
    <n v="139"/>
    <n v="0.59719999999999995"/>
    <n v="0.82289999999999996"/>
    <n v="2.0789"/>
    <n v="0.50700000000000001"/>
  </r>
  <r>
    <x v="0"/>
    <x v="1"/>
    <x v="1"/>
    <b v="0"/>
    <x v="0"/>
    <x v="1"/>
    <x v="1"/>
    <n v="49"/>
    <n v="0.18909999999999999"/>
    <n v="0.95"/>
    <n v="2.6053000000000002"/>
    <n v="0.50700000000000001"/>
  </r>
  <r>
    <x v="0"/>
    <x v="1"/>
    <x v="1"/>
    <b v="1"/>
    <x v="0"/>
    <x v="0"/>
    <x v="4"/>
    <n v="73"/>
    <n v="0.64370000000000005"/>
    <n v="0.81240000000000001"/>
    <n v="1.9019999999999999"/>
    <n v="0.50649999999999995"/>
  </r>
  <r>
    <x v="0"/>
    <x v="1"/>
    <x v="1"/>
    <b v="0"/>
    <x v="1"/>
    <x v="0"/>
    <x v="5"/>
    <n v="41"/>
    <n v="1.3443000000000001"/>
    <n v="0.60140000000000005"/>
    <n v="1.8832"/>
    <n v="0.50649999999999995"/>
  </r>
  <r>
    <x v="0"/>
    <x v="1"/>
    <x v="2"/>
    <b v="1"/>
    <x v="0"/>
    <x v="1"/>
    <x v="2"/>
    <n v="277"/>
    <n v="0.31230000000000002"/>
    <n v="0.9083"/>
    <n v="2.1970999999999998"/>
    <n v="0.50649999999999995"/>
  </r>
  <r>
    <x v="0"/>
    <x v="0"/>
    <x v="0"/>
    <b v="1"/>
    <x v="0"/>
    <x v="1"/>
    <x v="1"/>
    <n v="137"/>
    <n v="0.41539999999999999"/>
    <n v="0.87519999999999998"/>
    <n v="2.1217999999999999"/>
    <n v="0.50649999999999995"/>
  </r>
  <r>
    <x v="0"/>
    <x v="1"/>
    <x v="1"/>
    <b v="1"/>
    <x v="1"/>
    <x v="1"/>
    <x v="2"/>
    <n v="68"/>
    <n v="0.48699999999999999"/>
    <n v="0.85860000000000003"/>
    <n v="2.2917999999999998"/>
    <n v="0.50600000000000001"/>
  </r>
  <r>
    <x v="0"/>
    <x v="1"/>
    <x v="1"/>
    <b v="1"/>
    <x v="1"/>
    <x v="1"/>
    <x v="4"/>
    <n v="79"/>
    <n v="0.3589"/>
    <n v="0.89590000000000003"/>
    <n v="2.4540000000000002"/>
    <n v="0.50600000000000001"/>
  </r>
  <r>
    <x v="0"/>
    <x v="1"/>
    <x v="2"/>
    <b v="0"/>
    <x v="0"/>
    <x v="1"/>
    <x v="5"/>
    <n v="138"/>
    <n v="0.31109999999999999"/>
    <n v="0.91049999999999998"/>
    <n v="2.3136000000000001"/>
    <n v="0.50549999999999995"/>
  </r>
  <r>
    <x v="0"/>
    <x v="1"/>
    <x v="2"/>
    <b v="1"/>
    <x v="0"/>
    <x v="1"/>
    <x v="3"/>
    <n v="278"/>
    <n v="0.2437"/>
    <n v="0.93010000000000004"/>
    <n v="2.3169"/>
    <n v="0.50549999999999995"/>
  </r>
  <r>
    <x v="0"/>
    <x v="0"/>
    <x v="2"/>
    <b v="1"/>
    <x v="0"/>
    <x v="1"/>
    <x v="1"/>
    <n v="279"/>
    <n v="0.39219999999999999"/>
    <n v="0.88260000000000005"/>
    <n v="2.0291000000000001"/>
    <n v="0.50549999999999995"/>
  </r>
  <r>
    <x v="0"/>
    <x v="2"/>
    <x v="1"/>
    <b v="0"/>
    <x v="1"/>
    <x v="0"/>
    <x v="5"/>
    <n v="41"/>
    <n v="1.5034000000000001"/>
    <n v="0.53610000000000002"/>
    <n v="1.8984000000000001"/>
    <n v="0.505"/>
  </r>
  <r>
    <x v="0"/>
    <x v="1"/>
    <x v="2"/>
    <b v="0"/>
    <x v="0"/>
    <x v="1"/>
    <x v="0"/>
    <n v="137"/>
    <n v="0.23250000000000001"/>
    <n v="0.93310000000000004"/>
    <n v="2.3315999999999999"/>
    <n v="0.505"/>
  </r>
  <r>
    <x v="0"/>
    <x v="1"/>
    <x v="0"/>
    <b v="0"/>
    <x v="0"/>
    <x v="1"/>
    <x v="1"/>
    <n v="74"/>
    <n v="0.17710000000000001"/>
    <n v="0.95199999999999996"/>
    <n v="2.4777"/>
    <n v="0.505"/>
  </r>
  <r>
    <x v="0"/>
    <x v="2"/>
    <x v="1"/>
    <b v="1"/>
    <x v="1"/>
    <x v="1"/>
    <x v="0"/>
    <n v="68"/>
    <n v="0.59670000000000001"/>
    <n v="0.82489999999999997"/>
    <n v="2.1360999999999999"/>
    <n v="0.50449999999999995"/>
  </r>
  <r>
    <x v="0"/>
    <x v="0"/>
    <x v="1"/>
    <b v="0"/>
    <x v="1"/>
    <x v="0"/>
    <x v="0"/>
    <n v="42"/>
    <n v="1.4298"/>
    <n v="0.56469999999999998"/>
    <n v="1.825"/>
    <n v="0.504"/>
  </r>
  <r>
    <x v="0"/>
    <x v="1"/>
    <x v="0"/>
    <b v="1"/>
    <x v="0"/>
    <x v="1"/>
    <x v="4"/>
    <n v="136"/>
    <n v="0.23710000000000001"/>
    <n v="0.93240000000000001"/>
    <n v="2.4483999999999999"/>
    <n v="0.504"/>
  </r>
  <r>
    <x v="0"/>
    <x v="0"/>
    <x v="1"/>
    <b v="1"/>
    <x v="1"/>
    <x v="0"/>
    <x v="4"/>
    <n v="73"/>
    <n v="1.3363"/>
    <n v="0.60440000000000005"/>
    <n v="1.8271999999999999"/>
    <n v="0.50349999999999995"/>
  </r>
  <r>
    <x v="0"/>
    <x v="1"/>
    <x v="1"/>
    <b v="1"/>
    <x v="1"/>
    <x v="1"/>
    <x v="5"/>
    <n v="68"/>
    <n v="0.55549999999999999"/>
    <n v="0.83819999999999995"/>
    <n v="2.2050000000000001"/>
    <n v="0.50349999999999995"/>
  </r>
  <r>
    <x v="0"/>
    <x v="1"/>
    <x v="2"/>
    <b v="1"/>
    <x v="1"/>
    <x v="1"/>
    <x v="5"/>
    <n v="287"/>
    <n v="0.51849999999999996"/>
    <n v="0.85"/>
    <n v="2.0304000000000002"/>
    <n v="0.50349999999999995"/>
  </r>
  <r>
    <x v="0"/>
    <x v="2"/>
    <x v="1"/>
    <b v="1"/>
    <x v="1"/>
    <x v="1"/>
    <x v="3"/>
    <n v="68"/>
    <n v="0.54659999999999997"/>
    <n v="0.83899999999999997"/>
    <n v="2.1562000000000001"/>
    <n v="0.50249999999999995"/>
  </r>
  <r>
    <x v="0"/>
    <x v="0"/>
    <x v="1"/>
    <b v="1"/>
    <x v="0"/>
    <x v="1"/>
    <x v="1"/>
    <n v="67"/>
    <n v="0.505"/>
    <n v="0.85350000000000004"/>
    <n v="2.1513"/>
    <n v="0.50249999999999995"/>
  </r>
  <r>
    <x v="0"/>
    <x v="2"/>
    <x v="0"/>
    <b v="1"/>
    <x v="0"/>
    <x v="1"/>
    <x v="3"/>
    <n v="137"/>
    <n v="0.32119999999999999"/>
    <n v="0.90620000000000001"/>
    <n v="2.2566999999999999"/>
    <n v="0.502"/>
  </r>
  <r>
    <x v="0"/>
    <x v="2"/>
    <x v="2"/>
    <b v="1"/>
    <x v="1"/>
    <x v="1"/>
    <x v="3"/>
    <n v="286"/>
    <n v="0.4496"/>
    <n v="0.86360000000000003"/>
    <n v="2.1488"/>
    <n v="0.502"/>
  </r>
  <r>
    <x v="0"/>
    <x v="1"/>
    <x v="1"/>
    <b v="1"/>
    <x v="1"/>
    <x v="1"/>
    <x v="1"/>
    <n v="79"/>
    <n v="0.34549999999999997"/>
    <n v="0.90310000000000001"/>
    <n v="2.4912000000000001"/>
    <n v="0.502"/>
  </r>
  <r>
    <x v="0"/>
    <x v="1"/>
    <x v="0"/>
    <b v="1"/>
    <x v="1"/>
    <x v="0"/>
    <x v="1"/>
    <n v="151"/>
    <n v="0.79810000000000003"/>
    <n v="0.7611"/>
    <n v="1.8724000000000001"/>
    <n v="0.50149999999999995"/>
  </r>
  <r>
    <x v="0"/>
    <x v="1"/>
    <x v="1"/>
    <b v="0"/>
    <x v="0"/>
    <x v="1"/>
    <x v="4"/>
    <n v="49"/>
    <n v="0.2122"/>
    <n v="0.94569999999999999"/>
    <n v="2.5110000000000001"/>
    <n v="0.4995"/>
  </r>
  <r>
    <x v="0"/>
    <x v="0"/>
    <x v="1"/>
    <b v="1"/>
    <x v="1"/>
    <x v="0"/>
    <x v="5"/>
    <n v="73"/>
    <n v="1.5701000000000001"/>
    <n v="0.51910000000000001"/>
    <n v="1.8533999999999999"/>
    <n v="0.4985"/>
  </r>
  <r>
    <x v="0"/>
    <x v="2"/>
    <x v="0"/>
    <b v="1"/>
    <x v="0"/>
    <x v="1"/>
    <x v="1"/>
    <n v="137"/>
    <n v="0.27410000000000001"/>
    <n v="0.91700000000000004"/>
    <n v="2.3525"/>
    <n v="0.4985"/>
  </r>
  <r>
    <x v="0"/>
    <x v="0"/>
    <x v="0"/>
    <b v="0"/>
    <x v="1"/>
    <x v="0"/>
    <x v="5"/>
    <n v="75"/>
    <n v="1.5077"/>
    <n v="0.54190000000000005"/>
    <n v="1.8475999999999999"/>
    <n v="0.4975"/>
  </r>
  <r>
    <x v="0"/>
    <x v="0"/>
    <x v="1"/>
    <b v="1"/>
    <x v="1"/>
    <x v="1"/>
    <x v="2"/>
    <n v="69"/>
    <n v="0.8629"/>
    <n v="0.74319999999999997"/>
    <n v="1.9984"/>
    <n v="0.497"/>
  </r>
  <r>
    <x v="0"/>
    <x v="1"/>
    <x v="0"/>
    <b v="0"/>
    <x v="0"/>
    <x v="1"/>
    <x v="3"/>
    <n v="74"/>
    <n v="0.1963"/>
    <n v="0.94510000000000005"/>
    <n v="2.5337999999999998"/>
    <n v="0.497"/>
  </r>
  <r>
    <x v="0"/>
    <x v="1"/>
    <x v="1"/>
    <b v="1"/>
    <x v="0"/>
    <x v="1"/>
    <x v="4"/>
    <n v="65"/>
    <n v="0.24779999999999999"/>
    <n v="0.92859999999999998"/>
    <n v="2.4340000000000002"/>
    <n v="0.497"/>
  </r>
  <r>
    <x v="0"/>
    <x v="1"/>
    <x v="2"/>
    <b v="1"/>
    <x v="1"/>
    <x v="0"/>
    <x v="5"/>
    <n v="291"/>
    <n v="1.1383000000000001"/>
    <n v="0.66290000000000004"/>
    <n v="1.8228"/>
    <n v="0.496"/>
  </r>
  <r>
    <x v="0"/>
    <x v="2"/>
    <x v="0"/>
    <b v="1"/>
    <x v="1"/>
    <x v="1"/>
    <x v="2"/>
    <n v="138"/>
    <n v="0.55000000000000004"/>
    <n v="0.83599999999999997"/>
    <n v="2.1793"/>
    <n v="0.4955"/>
  </r>
  <r>
    <x v="0"/>
    <x v="0"/>
    <x v="1"/>
    <b v="1"/>
    <x v="1"/>
    <x v="0"/>
    <x v="2"/>
    <n v="73"/>
    <n v="1.4873000000000001"/>
    <n v="0.5444"/>
    <n v="1.8867"/>
    <n v="0.495"/>
  </r>
  <r>
    <x v="0"/>
    <x v="1"/>
    <x v="2"/>
    <b v="0"/>
    <x v="0"/>
    <x v="1"/>
    <x v="3"/>
    <n v="137"/>
    <n v="0.21740000000000001"/>
    <n v="0.93600000000000005"/>
    <n v="2.4964"/>
    <n v="0.4945"/>
  </r>
  <r>
    <x v="0"/>
    <x v="0"/>
    <x v="2"/>
    <b v="1"/>
    <x v="0"/>
    <x v="1"/>
    <x v="4"/>
    <n v="277"/>
    <n v="0.4405"/>
    <n v="0.86709999999999998"/>
    <n v="2.0861999999999998"/>
    <n v="0.49399999999999999"/>
  </r>
  <r>
    <x v="0"/>
    <x v="2"/>
    <x v="1"/>
    <b v="1"/>
    <x v="1"/>
    <x v="1"/>
    <x v="2"/>
    <n v="68"/>
    <n v="0.65229999999999999"/>
    <n v="0.80959999999999999"/>
    <n v="2.0718000000000001"/>
    <n v="0.49349999999999999"/>
  </r>
  <r>
    <x v="0"/>
    <x v="1"/>
    <x v="1"/>
    <b v="1"/>
    <x v="0"/>
    <x v="1"/>
    <x v="2"/>
    <n v="65"/>
    <n v="0.32450000000000001"/>
    <n v="0.90810000000000002"/>
    <n v="2.4165999999999999"/>
    <n v="0.49199999999999999"/>
  </r>
  <r>
    <x v="0"/>
    <x v="1"/>
    <x v="2"/>
    <b v="0"/>
    <x v="0"/>
    <x v="1"/>
    <x v="4"/>
    <n v="138"/>
    <n v="0.1938"/>
    <n v="0.94230000000000003"/>
    <n v="2.516"/>
    <n v="0.48899999999999999"/>
  </r>
  <r>
    <x v="0"/>
    <x v="1"/>
    <x v="1"/>
    <b v="1"/>
    <x v="0"/>
    <x v="1"/>
    <x v="1"/>
    <n v="65"/>
    <n v="0.22750000000000001"/>
    <n v="0.93530000000000002"/>
    <n v="2.4622000000000002"/>
    <n v="0.48899999999999999"/>
  </r>
  <r>
    <x v="0"/>
    <x v="0"/>
    <x v="1"/>
    <b v="0"/>
    <x v="1"/>
    <x v="0"/>
    <x v="5"/>
    <n v="41"/>
    <n v="1.5713999999999999"/>
    <n v="0.51649999999999996"/>
    <n v="1.8545"/>
    <n v="0.48799999999999999"/>
  </r>
  <r>
    <x v="0"/>
    <x v="1"/>
    <x v="0"/>
    <b v="1"/>
    <x v="0"/>
    <x v="1"/>
    <x v="5"/>
    <n v="137"/>
    <n v="0.36530000000000001"/>
    <n v="0.89419999999999999"/>
    <n v="2.2130000000000001"/>
    <n v="0.48599999999999999"/>
  </r>
  <r>
    <x v="0"/>
    <x v="1"/>
    <x v="1"/>
    <b v="1"/>
    <x v="0"/>
    <x v="1"/>
    <x v="0"/>
    <n v="65"/>
    <n v="0.27960000000000002"/>
    <n v="0.9224"/>
    <n v="2.4243000000000001"/>
    <n v="0.48499999999999999"/>
  </r>
  <r>
    <x v="0"/>
    <x v="1"/>
    <x v="1"/>
    <b v="1"/>
    <x v="0"/>
    <x v="1"/>
    <x v="5"/>
    <n v="65"/>
    <n v="0.36449999999999999"/>
    <n v="0.89539999999999997"/>
    <n v="2.2812999999999999"/>
    <n v="0.48449999999999999"/>
  </r>
  <r>
    <x v="0"/>
    <x v="1"/>
    <x v="1"/>
    <b v="1"/>
    <x v="0"/>
    <x v="1"/>
    <x v="3"/>
    <n v="65"/>
    <n v="0.27860000000000001"/>
    <n v="0.92069999999999996"/>
    <n v="2.4975000000000001"/>
    <n v="0.47149999999999997"/>
  </r>
  <r>
    <x v="1"/>
    <x v="1"/>
    <x v="1"/>
    <b v="0"/>
    <x v="0"/>
    <x v="1"/>
    <x v="5"/>
    <n v="30"/>
    <n v="0.26069999999999999"/>
    <n v="0.92689999999999995"/>
    <n v="2.1814"/>
    <n v="0.52600000000000002"/>
  </r>
  <r>
    <x v="1"/>
    <x v="1"/>
    <x v="1"/>
    <b v="0"/>
    <x v="0"/>
    <x v="1"/>
    <x v="2"/>
    <n v="30"/>
    <n v="0.22639999999999999"/>
    <n v="0.93589999999999995"/>
    <n v="2.4148000000000001"/>
    <n v="0.50949999999999995"/>
  </r>
  <r>
    <x v="1"/>
    <x v="1"/>
    <x v="1"/>
    <b v="0"/>
    <x v="0"/>
    <x v="1"/>
    <x v="0"/>
    <n v="30"/>
    <n v="0.19939999999999999"/>
    <n v="0.94569999999999999"/>
    <n v="2.3062999999999998"/>
    <n v="0.52900000000000003"/>
  </r>
  <r>
    <x v="1"/>
    <x v="1"/>
    <x v="1"/>
    <b v="0"/>
    <x v="0"/>
    <x v="1"/>
    <x v="3"/>
    <n v="30"/>
    <n v="0.1701"/>
    <n v="0.95240000000000002"/>
    <n v="2.3706999999999998"/>
    <n v="0.50949999999999995"/>
  </r>
  <r>
    <x v="1"/>
    <x v="1"/>
    <x v="1"/>
    <b v="0"/>
    <x v="0"/>
    <x v="1"/>
    <x v="4"/>
    <n v="30"/>
    <n v="0.1618"/>
    <n v="0.95440000000000003"/>
    <n v="2.3856999999999999"/>
    <n v="0.51400000000000001"/>
  </r>
  <r>
    <x v="1"/>
    <x v="1"/>
    <x v="1"/>
    <b v="0"/>
    <x v="0"/>
    <x v="1"/>
    <x v="1"/>
    <n v="30"/>
    <n v="0.14480000000000001"/>
    <n v="0.96099999999999997"/>
    <n v="2.42"/>
    <n v="0.50949999999999995"/>
  </r>
  <r>
    <x v="1"/>
    <x v="1"/>
    <x v="1"/>
    <b v="0"/>
    <x v="0"/>
    <x v="0"/>
    <x v="5"/>
    <n v="30"/>
    <n v="0.88400000000000001"/>
    <n v="0.74060000000000004"/>
    <n v="1.7849999999999999"/>
    <n v="0.52849999999999997"/>
  </r>
  <r>
    <x v="1"/>
    <x v="1"/>
    <x v="1"/>
    <b v="0"/>
    <x v="0"/>
    <x v="0"/>
    <x v="2"/>
    <n v="30"/>
    <n v="0.80159999999999998"/>
    <n v="0.76490000000000002"/>
    <n v="1.8711"/>
    <n v="0.52949999999999997"/>
  </r>
  <r>
    <x v="1"/>
    <x v="1"/>
    <x v="1"/>
    <b v="0"/>
    <x v="0"/>
    <x v="0"/>
    <x v="0"/>
    <n v="30"/>
    <n v="0.7248"/>
    <n v="0.79200000000000004"/>
    <n v="1.9414"/>
    <n v="0.52549999999999997"/>
  </r>
  <r>
    <x v="1"/>
    <x v="1"/>
    <x v="1"/>
    <b v="0"/>
    <x v="0"/>
    <x v="0"/>
    <x v="3"/>
    <n v="32"/>
    <n v="0.65300000000000002"/>
    <n v="0.80630000000000002"/>
    <n v="1.9233"/>
    <n v="0.52049999999999996"/>
  </r>
  <r>
    <x v="1"/>
    <x v="1"/>
    <x v="1"/>
    <b v="0"/>
    <x v="0"/>
    <x v="0"/>
    <x v="4"/>
    <n v="30"/>
    <n v="0.60240000000000005"/>
    <n v="0.8286"/>
    <n v="1.9387000000000001"/>
    <n v="0.52600000000000002"/>
  </r>
  <r>
    <x v="1"/>
    <x v="1"/>
    <x v="1"/>
    <b v="0"/>
    <x v="0"/>
    <x v="0"/>
    <x v="1"/>
    <n v="30"/>
    <n v="0.54820000000000002"/>
    <n v="0.83640000000000003"/>
    <n v="2.0055999999999998"/>
    <n v="0.52900000000000003"/>
  </r>
  <r>
    <x v="1"/>
    <x v="1"/>
    <x v="1"/>
    <b v="0"/>
    <x v="1"/>
    <x v="1"/>
    <x v="5"/>
    <n v="37"/>
    <n v="0.33350000000000002"/>
    <n v="0.90849999999999997"/>
    <n v="2.1854"/>
    <n v="0.50749999999999995"/>
  </r>
  <r>
    <x v="1"/>
    <x v="1"/>
    <x v="1"/>
    <b v="0"/>
    <x v="1"/>
    <x v="1"/>
    <x v="2"/>
    <n v="37"/>
    <n v="0.29220000000000002"/>
    <n v="0.91679999999999995"/>
    <n v="2.2437999999999998"/>
    <n v="0.50600000000000001"/>
  </r>
  <r>
    <x v="1"/>
    <x v="1"/>
    <x v="1"/>
    <b v="0"/>
    <x v="1"/>
    <x v="1"/>
    <x v="0"/>
    <n v="36"/>
    <n v="0.25619999999999998"/>
    <n v="0.9284"/>
    <n v="2.2572999999999999"/>
    <n v="0.51449999999999996"/>
  </r>
  <r>
    <x v="1"/>
    <x v="1"/>
    <x v="1"/>
    <b v="0"/>
    <x v="1"/>
    <x v="1"/>
    <x v="3"/>
    <n v="33"/>
    <n v="0.2281"/>
    <n v="0.93769999999999998"/>
    <n v="2.3027000000000002"/>
    <n v="0.51100000000000001"/>
  </r>
  <r>
    <x v="1"/>
    <x v="1"/>
    <x v="1"/>
    <b v="0"/>
    <x v="1"/>
    <x v="1"/>
    <x v="4"/>
    <n v="32"/>
    <n v="0.22309999999999999"/>
    <n v="0.93740000000000001"/>
    <n v="2.3147000000000002"/>
    <n v="0.51200000000000001"/>
  </r>
  <r>
    <x v="1"/>
    <x v="1"/>
    <x v="1"/>
    <b v="0"/>
    <x v="1"/>
    <x v="1"/>
    <x v="1"/>
    <n v="32"/>
    <n v="0.20749999999999999"/>
    <n v="0.94369999999999998"/>
    <n v="2.3719000000000001"/>
    <n v="0.499"/>
  </r>
  <r>
    <x v="1"/>
    <x v="1"/>
    <x v="1"/>
    <b v="0"/>
    <x v="1"/>
    <x v="0"/>
    <x v="5"/>
    <n v="34"/>
    <n v="1.1332"/>
    <n v="0.6714"/>
    <n v="1.7000999999999999"/>
    <n v="0.54200000000000004"/>
  </r>
  <r>
    <x v="1"/>
    <x v="1"/>
    <x v="1"/>
    <b v="0"/>
    <x v="1"/>
    <x v="0"/>
    <x v="2"/>
    <n v="33"/>
    <n v="1.0364"/>
    <n v="0.69610000000000005"/>
    <n v="1.7364999999999999"/>
    <n v="0.53049999999999997"/>
  </r>
  <r>
    <x v="1"/>
    <x v="1"/>
    <x v="1"/>
    <b v="0"/>
    <x v="1"/>
    <x v="0"/>
    <x v="0"/>
    <n v="33"/>
    <n v="0.9677"/>
    <n v="0.71609999999999996"/>
    <n v="1.7269000000000001"/>
    <n v="0.53749999999999998"/>
  </r>
  <r>
    <x v="1"/>
    <x v="1"/>
    <x v="1"/>
    <b v="0"/>
    <x v="1"/>
    <x v="0"/>
    <x v="3"/>
    <n v="33"/>
    <n v="0.88149999999999995"/>
    <n v="0.73950000000000005"/>
    <n v="1.6837"/>
    <n v="0.55400000000000005"/>
  </r>
  <r>
    <x v="1"/>
    <x v="1"/>
    <x v="1"/>
    <b v="0"/>
    <x v="1"/>
    <x v="0"/>
    <x v="4"/>
    <n v="33"/>
    <n v="0.81630000000000003"/>
    <n v="0.76370000000000005"/>
    <n v="1.7"/>
    <n v="0.55300000000000005"/>
  </r>
  <r>
    <x v="1"/>
    <x v="1"/>
    <x v="1"/>
    <b v="0"/>
    <x v="1"/>
    <x v="0"/>
    <x v="1"/>
    <n v="33"/>
    <n v="0.7429"/>
    <n v="0.78939999999999999"/>
    <n v="1.7182999999999999"/>
    <n v="0.55400000000000005"/>
  </r>
  <r>
    <x v="1"/>
    <x v="1"/>
    <x v="0"/>
    <b v="0"/>
    <x v="0"/>
    <x v="1"/>
    <x v="5"/>
    <n v="57"/>
    <n v="0.24229999999999999"/>
    <n v="0.92989999999999995"/>
    <n v="2.2473999999999998"/>
    <n v="0.50900000000000001"/>
  </r>
  <r>
    <x v="1"/>
    <x v="1"/>
    <x v="0"/>
    <b v="0"/>
    <x v="0"/>
    <x v="1"/>
    <x v="2"/>
    <n v="64"/>
    <n v="0.2157"/>
    <n v="0.93759999999999999"/>
    <n v="2.2966000000000002"/>
    <n v="0.52349999999999997"/>
  </r>
  <r>
    <x v="1"/>
    <x v="1"/>
    <x v="0"/>
    <b v="0"/>
    <x v="0"/>
    <x v="1"/>
    <x v="0"/>
    <n v="63"/>
    <n v="0.1908"/>
    <n v="0.94410000000000005"/>
    <n v="2.4049999999999998"/>
    <n v="0.4945"/>
  </r>
  <r>
    <x v="1"/>
    <x v="1"/>
    <x v="0"/>
    <b v="0"/>
    <x v="0"/>
    <x v="1"/>
    <x v="3"/>
    <n v="64"/>
    <n v="0.16250000000000001"/>
    <n v="0.95430000000000004"/>
    <n v="2.3170999999999999"/>
    <n v="0.51600000000000001"/>
  </r>
  <r>
    <x v="1"/>
    <x v="1"/>
    <x v="0"/>
    <b v="0"/>
    <x v="0"/>
    <x v="1"/>
    <x v="4"/>
    <n v="63"/>
    <n v="0.15049999999999999"/>
    <n v="0.95540000000000003"/>
    <n v="2.3990999999999998"/>
    <n v="0.50349999999999995"/>
  </r>
  <r>
    <x v="1"/>
    <x v="1"/>
    <x v="0"/>
    <b v="0"/>
    <x v="0"/>
    <x v="1"/>
    <x v="1"/>
    <n v="64"/>
    <n v="0.13669999999999999"/>
    <n v="0.95899999999999996"/>
    <n v="2.4036"/>
    <n v="0.51449999999999996"/>
  </r>
  <r>
    <x v="1"/>
    <x v="1"/>
    <x v="0"/>
    <b v="0"/>
    <x v="0"/>
    <x v="0"/>
    <x v="5"/>
    <n v="57"/>
    <n v="0.76290000000000002"/>
    <n v="0.76970000000000005"/>
    <n v="1.7017"/>
    <n v="0.55300000000000005"/>
  </r>
  <r>
    <x v="1"/>
    <x v="1"/>
    <x v="0"/>
    <b v="0"/>
    <x v="0"/>
    <x v="0"/>
    <x v="2"/>
    <n v="57"/>
    <n v="0.68400000000000005"/>
    <n v="0.79849999999999999"/>
    <n v="2.0958000000000001"/>
    <n v="0.496"/>
  </r>
  <r>
    <x v="1"/>
    <x v="1"/>
    <x v="0"/>
    <b v="0"/>
    <x v="0"/>
    <x v="0"/>
    <x v="0"/>
    <n v="57"/>
    <n v="0.60799999999999998"/>
    <n v="0.81910000000000005"/>
    <n v="1.8767"/>
    <n v="0.54149999999999998"/>
  </r>
  <r>
    <x v="1"/>
    <x v="1"/>
    <x v="0"/>
    <b v="0"/>
    <x v="0"/>
    <x v="0"/>
    <x v="3"/>
    <n v="58"/>
    <n v="0.54379999999999995"/>
    <n v="0.84"/>
    <n v="1.9176"/>
    <n v="0.51700000000000002"/>
  </r>
  <r>
    <x v="1"/>
    <x v="1"/>
    <x v="0"/>
    <b v="0"/>
    <x v="0"/>
    <x v="0"/>
    <x v="4"/>
    <n v="58"/>
    <n v="0.4864"/>
    <n v="0.8569"/>
    <n v="1.9327000000000001"/>
    <n v="0.52249999999999996"/>
  </r>
  <r>
    <x v="1"/>
    <x v="1"/>
    <x v="0"/>
    <b v="0"/>
    <x v="0"/>
    <x v="0"/>
    <x v="1"/>
    <n v="58"/>
    <n v="0.44590000000000002"/>
    <n v="0.871"/>
    <n v="1.9512"/>
    <n v="0.54"/>
  </r>
  <r>
    <x v="1"/>
    <x v="1"/>
    <x v="0"/>
    <b v="0"/>
    <x v="1"/>
    <x v="1"/>
    <x v="5"/>
    <n v="62"/>
    <n v="0.29959999999999998"/>
    <n v="0.91459999999999997"/>
    <n v="1.9540999999999999"/>
    <n v="0.55100000000000005"/>
  </r>
  <r>
    <x v="1"/>
    <x v="1"/>
    <x v="0"/>
    <b v="0"/>
    <x v="1"/>
    <x v="1"/>
    <x v="2"/>
    <n v="61"/>
    <n v="0.25600000000000001"/>
    <n v="0.9254"/>
    <n v="2.0537000000000001"/>
    <n v="0.54200000000000004"/>
  </r>
  <r>
    <x v="1"/>
    <x v="1"/>
    <x v="0"/>
    <b v="0"/>
    <x v="1"/>
    <x v="1"/>
    <x v="0"/>
    <n v="60"/>
    <n v="0.2001"/>
    <n v="0.94299999999999995"/>
    <n v="2.1404000000000001"/>
    <n v="0.54100000000000004"/>
  </r>
  <r>
    <x v="1"/>
    <x v="1"/>
    <x v="0"/>
    <b v="0"/>
    <x v="1"/>
    <x v="1"/>
    <x v="3"/>
    <n v="60"/>
    <n v="0.1986"/>
    <n v="0.94130000000000003"/>
    <n v="2.1442000000000001"/>
    <n v="0.52900000000000003"/>
  </r>
  <r>
    <x v="1"/>
    <x v="1"/>
    <x v="0"/>
    <b v="0"/>
    <x v="1"/>
    <x v="1"/>
    <x v="4"/>
    <n v="61"/>
    <n v="0.18459999999999999"/>
    <n v="0.94940000000000002"/>
    <n v="2.198"/>
    <n v="0.53"/>
  </r>
  <r>
    <x v="1"/>
    <x v="1"/>
    <x v="0"/>
    <b v="0"/>
    <x v="1"/>
    <x v="1"/>
    <x v="1"/>
    <n v="61"/>
    <n v="0.15770000000000001"/>
    <n v="0.95599999999999996"/>
    <n v="2.2534999999999998"/>
    <n v="0.53600000000000003"/>
  </r>
  <r>
    <x v="1"/>
    <x v="1"/>
    <x v="0"/>
    <b v="0"/>
    <x v="1"/>
    <x v="0"/>
    <x v="5"/>
    <n v="56"/>
    <n v="1.0094000000000001"/>
    <n v="0.69910000000000005"/>
    <n v="1.6055999999999999"/>
    <n v="0.55149999999999999"/>
  </r>
  <r>
    <x v="1"/>
    <x v="1"/>
    <x v="0"/>
    <b v="0"/>
    <x v="1"/>
    <x v="0"/>
    <x v="2"/>
    <n v="56"/>
    <n v="0.92720000000000002"/>
    <n v="0.72689999999999999"/>
    <n v="1.6867000000000001"/>
    <n v="0.54549999999999998"/>
  </r>
  <r>
    <x v="1"/>
    <x v="1"/>
    <x v="0"/>
    <b v="0"/>
    <x v="1"/>
    <x v="0"/>
    <x v="0"/>
    <n v="56"/>
    <n v="0.84660000000000002"/>
    <n v="0.75160000000000005"/>
    <n v="1.6528"/>
    <n v="0.55600000000000005"/>
  </r>
  <r>
    <x v="1"/>
    <x v="1"/>
    <x v="0"/>
    <b v="0"/>
    <x v="1"/>
    <x v="0"/>
    <x v="3"/>
    <n v="57"/>
    <n v="0.77759999999999996"/>
    <n v="0.76659999999999995"/>
    <n v="1.6868000000000001"/>
    <n v="0.55349999999999999"/>
  </r>
  <r>
    <x v="1"/>
    <x v="1"/>
    <x v="0"/>
    <b v="0"/>
    <x v="1"/>
    <x v="0"/>
    <x v="4"/>
    <n v="56"/>
    <n v="0.72"/>
    <n v="0.79100000000000004"/>
    <n v="1.7188000000000001"/>
    <n v="0.54749999999999999"/>
  </r>
  <r>
    <x v="1"/>
    <x v="1"/>
    <x v="0"/>
    <b v="0"/>
    <x v="1"/>
    <x v="0"/>
    <x v="1"/>
    <n v="56"/>
    <n v="0.67620000000000002"/>
    <n v="0.80330000000000001"/>
    <n v="1.742"/>
    <n v="0.55300000000000005"/>
  </r>
  <r>
    <x v="1"/>
    <x v="1"/>
    <x v="2"/>
    <b v="0"/>
    <x v="0"/>
    <x v="1"/>
    <x v="5"/>
    <n v="117"/>
    <n v="0.23910000000000001"/>
    <n v="0.93089999999999995"/>
    <n v="2.0981000000000001"/>
    <n v="0.51849999999999996"/>
  </r>
  <r>
    <x v="1"/>
    <x v="1"/>
    <x v="2"/>
    <b v="0"/>
    <x v="0"/>
    <x v="1"/>
    <x v="2"/>
    <n v="116"/>
    <n v="0.18840000000000001"/>
    <n v="0.94330000000000003"/>
    <n v="2.2235999999999998"/>
    <n v="0.52200000000000002"/>
  </r>
  <r>
    <x v="1"/>
    <x v="1"/>
    <x v="2"/>
    <b v="0"/>
    <x v="0"/>
    <x v="1"/>
    <x v="0"/>
    <n v="117"/>
    <n v="0.18160000000000001"/>
    <n v="0.94569999999999999"/>
    <n v="2.1534"/>
    <n v="0.52349999999999997"/>
  </r>
  <r>
    <x v="1"/>
    <x v="1"/>
    <x v="2"/>
    <b v="0"/>
    <x v="0"/>
    <x v="1"/>
    <x v="3"/>
    <n v="116"/>
    <n v="0.1731"/>
    <n v="0.9496"/>
    <n v="2.1913"/>
    <n v="0.53149999999999997"/>
  </r>
  <r>
    <x v="1"/>
    <x v="1"/>
    <x v="2"/>
    <b v="0"/>
    <x v="0"/>
    <x v="1"/>
    <x v="4"/>
    <n v="118"/>
    <n v="0.13469999999999999"/>
    <n v="0.95960000000000001"/>
    <n v="2.2364000000000002"/>
    <n v="0.52849999999999997"/>
  </r>
  <r>
    <x v="1"/>
    <x v="1"/>
    <x v="2"/>
    <b v="0"/>
    <x v="0"/>
    <x v="1"/>
    <x v="1"/>
    <n v="117"/>
    <n v="0.13550000000000001"/>
    <n v="0.96130000000000004"/>
    <n v="2.3530000000000002"/>
    <n v="0.51149999999999995"/>
  </r>
  <r>
    <x v="1"/>
    <x v="1"/>
    <x v="2"/>
    <b v="0"/>
    <x v="0"/>
    <x v="0"/>
    <x v="5"/>
    <n v="118"/>
    <n v="0.74850000000000005"/>
    <n v="0.77480000000000004"/>
    <n v="1.8027"/>
    <n v="0.54300000000000004"/>
  </r>
  <r>
    <x v="1"/>
    <x v="1"/>
    <x v="2"/>
    <b v="0"/>
    <x v="0"/>
    <x v="0"/>
    <x v="2"/>
    <n v="119"/>
    <n v="0.67530000000000001"/>
    <n v="0.79910000000000003"/>
    <n v="1.8344"/>
    <n v="0.53300000000000003"/>
  </r>
  <r>
    <x v="1"/>
    <x v="1"/>
    <x v="2"/>
    <b v="0"/>
    <x v="0"/>
    <x v="0"/>
    <x v="0"/>
    <n v="120"/>
    <n v="0.61050000000000004"/>
    <n v="0.81730000000000003"/>
    <n v="1.8482000000000001"/>
    <n v="0.51949999999999996"/>
  </r>
  <r>
    <x v="1"/>
    <x v="1"/>
    <x v="2"/>
    <b v="0"/>
    <x v="0"/>
    <x v="0"/>
    <x v="3"/>
    <n v="117"/>
    <n v="0.53100000000000003"/>
    <n v="0.83850000000000002"/>
    <n v="1.8963000000000001"/>
    <n v="0.51549999999999996"/>
  </r>
  <r>
    <x v="1"/>
    <x v="1"/>
    <x v="2"/>
    <b v="0"/>
    <x v="0"/>
    <x v="0"/>
    <x v="4"/>
    <n v="120"/>
    <n v="0.48820000000000002"/>
    <n v="0.84960000000000002"/>
    <n v="1.9028"/>
    <n v="0.53"/>
  </r>
  <r>
    <x v="1"/>
    <x v="1"/>
    <x v="2"/>
    <b v="0"/>
    <x v="0"/>
    <x v="0"/>
    <x v="1"/>
    <n v="117"/>
    <n v="0.43869999999999998"/>
    <n v="0.87170000000000003"/>
    <n v="1.8755999999999999"/>
    <n v="0.54749999999999999"/>
  </r>
  <r>
    <x v="1"/>
    <x v="1"/>
    <x v="2"/>
    <b v="0"/>
    <x v="1"/>
    <x v="1"/>
    <x v="5"/>
    <n v="116"/>
    <n v="0.26860000000000001"/>
    <n v="0.91930000000000001"/>
    <n v="2.0640000000000001"/>
    <n v="0.53200000000000003"/>
  </r>
  <r>
    <x v="1"/>
    <x v="1"/>
    <x v="2"/>
    <b v="0"/>
    <x v="1"/>
    <x v="1"/>
    <x v="2"/>
    <n v="116"/>
    <n v="0.23089999999999999"/>
    <n v="0.93269999999999997"/>
    <n v="2.1202999999999999"/>
    <n v="0.52700000000000002"/>
  </r>
  <r>
    <x v="1"/>
    <x v="1"/>
    <x v="2"/>
    <b v="0"/>
    <x v="1"/>
    <x v="1"/>
    <x v="0"/>
    <n v="116"/>
    <n v="0.193"/>
    <n v="0.94340000000000002"/>
    <n v="2.1554000000000002"/>
    <n v="0.51949999999999996"/>
  </r>
  <r>
    <x v="1"/>
    <x v="1"/>
    <x v="2"/>
    <b v="0"/>
    <x v="1"/>
    <x v="1"/>
    <x v="3"/>
    <n v="116"/>
    <n v="0.17380000000000001"/>
    <n v="0.94779999999999998"/>
    <n v="2.1892999999999998"/>
    <n v="0.52400000000000002"/>
  </r>
  <r>
    <x v="1"/>
    <x v="1"/>
    <x v="2"/>
    <b v="0"/>
    <x v="1"/>
    <x v="1"/>
    <x v="4"/>
    <n v="116"/>
    <n v="0.1578"/>
    <n v="0.95269999999999999"/>
    <n v="2.2206000000000001"/>
    <n v="0.51849999999999996"/>
  </r>
  <r>
    <x v="1"/>
    <x v="1"/>
    <x v="2"/>
    <b v="0"/>
    <x v="1"/>
    <x v="1"/>
    <x v="1"/>
    <n v="116"/>
    <n v="0.14480000000000001"/>
    <n v="0.9556"/>
    <n v="2.3123"/>
    <n v="0.52500000000000002"/>
  </r>
  <r>
    <x v="1"/>
    <x v="1"/>
    <x v="2"/>
    <b v="0"/>
    <x v="1"/>
    <x v="0"/>
    <x v="5"/>
    <n v="129"/>
    <n v="0.9204"/>
    <n v="0.72640000000000005"/>
    <n v="1.7137"/>
    <n v="0.55149999999999999"/>
  </r>
  <r>
    <x v="1"/>
    <x v="1"/>
    <x v="2"/>
    <b v="0"/>
    <x v="1"/>
    <x v="0"/>
    <x v="2"/>
    <n v="165"/>
    <n v="0.8286"/>
    <n v="0.75260000000000005"/>
    <n v="1.6798"/>
    <n v="0.54849999999999999"/>
  </r>
  <r>
    <x v="1"/>
    <x v="1"/>
    <x v="2"/>
    <b v="0"/>
    <x v="1"/>
    <x v="0"/>
    <x v="0"/>
    <n v="146"/>
    <n v="0.75190000000000001"/>
    <n v="0.78390000000000004"/>
    <n v="1.7270000000000001"/>
    <n v="0.54600000000000004"/>
  </r>
  <r>
    <x v="1"/>
    <x v="1"/>
    <x v="2"/>
    <b v="0"/>
    <x v="1"/>
    <x v="0"/>
    <x v="3"/>
    <n v="127"/>
    <n v="0.68810000000000004"/>
    <n v="0.79600000000000004"/>
    <n v="1.7422"/>
    <n v="0.54949999999999999"/>
  </r>
  <r>
    <x v="1"/>
    <x v="1"/>
    <x v="2"/>
    <b v="0"/>
    <x v="1"/>
    <x v="0"/>
    <x v="4"/>
    <n v="134"/>
    <n v="0.61909999999999998"/>
    <n v="0.81740000000000002"/>
    <n v="1.7210000000000001"/>
    <n v="0.5605"/>
  </r>
  <r>
    <x v="1"/>
    <x v="1"/>
    <x v="2"/>
    <b v="0"/>
    <x v="1"/>
    <x v="0"/>
    <x v="1"/>
    <n v="122"/>
    <n v="0.57799999999999996"/>
    <n v="0.82909999999999995"/>
    <n v="1.8250999999999999"/>
    <n v="0.54800000000000004"/>
  </r>
  <r>
    <x v="1"/>
    <x v="2"/>
    <x v="1"/>
    <b v="0"/>
    <x v="0"/>
    <x v="1"/>
    <x v="5"/>
    <n v="35"/>
    <n v="0.38450000000000001"/>
    <n v="0.89180000000000004"/>
    <n v="2.1171000000000002"/>
    <n v="0.51500000000000001"/>
  </r>
  <r>
    <x v="1"/>
    <x v="2"/>
    <x v="1"/>
    <b v="0"/>
    <x v="0"/>
    <x v="1"/>
    <x v="2"/>
    <n v="34"/>
    <n v="0.33500000000000002"/>
    <n v="0.90249999999999997"/>
    <n v="2.2667000000000002"/>
    <n v="0.4995"/>
  </r>
  <r>
    <x v="1"/>
    <x v="2"/>
    <x v="1"/>
    <b v="0"/>
    <x v="0"/>
    <x v="1"/>
    <x v="0"/>
    <n v="34"/>
    <n v="0.29139999999999999"/>
    <n v="0.91490000000000005"/>
    <n v="2.2854999999999999"/>
    <n v="0.50900000000000001"/>
  </r>
  <r>
    <x v="1"/>
    <x v="2"/>
    <x v="1"/>
    <b v="0"/>
    <x v="0"/>
    <x v="1"/>
    <x v="3"/>
    <n v="35"/>
    <n v="0.25119999999999998"/>
    <n v="0.9284"/>
    <n v="2.3551000000000002"/>
    <n v="0.50949999999999995"/>
  </r>
  <r>
    <x v="1"/>
    <x v="2"/>
    <x v="1"/>
    <b v="0"/>
    <x v="0"/>
    <x v="1"/>
    <x v="4"/>
    <n v="34"/>
    <n v="0.23319999999999999"/>
    <n v="0.93300000000000005"/>
    <n v="2.4268999999999998"/>
    <n v="0.49199999999999999"/>
  </r>
  <r>
    <x v="1"/>
    <x v="2"/>
    <x v="1"/>
    <b v="0"/>
    <x v="0"/>
    <x v="1"/>
    <x v="1"/>
    <n v="36"/>
    <n v="0.22189999999999999"/>
    <n v="0.93859999999999999"/>
    <n v="2.3974000000000002"/>
    <n v="0.503"/>
  </r>
  <r>
    <x v="1"/>
    <x v="2"/>
    <x v="1"/>
    <b v="0"/>
    <x v="0"/>
    <x v="0"/>
    <x v="5"/>
    <n v="34"/>
    <n v="1.0279"/>
    <n v="0.69399999999999995"/>
    <n v="1.8152999999999999"/>
    <n v="0.51249999999999996"/>
  </r>
  <r>
    <x v="1"/>
    <x v="2"/>
    <x v="1"/>
    <b v="0"/>
    <x v="0"/>
    <x v="0"/>
    <x v="2"/>
    <n v="35"/>
    <n v="0.96550000000000002"/>
    <n v="0.70899999999999996"/>
    <n v="1.8015000000000001"/>
    <n v="0.52149999999999996"/>
  </r>
  <r>
    <x v="1"/>
    <x v="2"/>
    <x v="1"/>
    <b v="0"/>
    <x v="0"/>
    <x v="0"/>
    <x v="0"/>
    <n v="35"/>
    <n v="0.87649999999999995"/>
    <n v="0.73919999999999997"/>
    <n v="1.8580000000000001"/>
    <n v="0.52349999999999997"/>
  </r>
  <r>
    <x v="1"/>
    <x v="2"/>
    <x v="1"/>
    <b v="0"/>
    <x v="0"/>
    <x v="0"/>
    <x v="3"/>
    <n v="34"/>
    <n v="0.82520000000000004"/>
    <n v="0.75619999999999998"/>
    <n v="1.8506"/>
    <n v="0.53249999999999997"/>
  </r>
  <r>
    <x v="1"/>
    <x v="2"/>
    <x v="1"/>
    <b v="0"/>
    <x v="0"/>
    <x v="0"/>
    <x v="4"/>
    <n v="34"/>
    <n v="0.76"/>
    <n v="0.77290000000000003"/>
    <n v="1.8594999999999999"/>
    <n v="0.53149999999999997"/>
  </r>
  <r>
    <x v="1"/>
    <x v="2"/>
    <x v="1"/>
    <b v="0"/>
    <x v="0"/>
    <x v="0"/>
    <x v="1"/>
    <n v="35"/>
    <n v="0.70730000000000004"/>
    <n v="0.78839999999999999"/>
    <n v="1.8136000000000001"/>
    <n v="0.54400000000000004"/>
  </r>
  <r>
    <x v="1"/>
    <x v="2"/>
    <x v="1"/>
    <b v="0"/>
    <x v="1"/>
    <x v="1"/>
    <x v="5"/>
    <n v="36"/>
    <n v="0.43580000000000002"/>
    <n v="0.88080000000000003"/>
    <n v="1.9365000000000001"/>
    <n v="0.52500000000000002"/>
  </r>
  <r>
    <x v="1"/>
    <x v="2"/>
    <x v="1"/>
    <b v="0"/>
    <x v="1"/>
    <x v="1"/>
    <x v="2"/>
    <n v="35"/>
    <n v="0.36449999999999999"/>
    <n v="0.89900000000000002"/>
    <n v="2.0186999999999999"/>
    <n v="0.52"/>
  </r>
  <r>
    <x v="1"/>
    <x v="2"/>
    <x v="1"/>
    <b v="0"/>
    <x v="1"/>
    <x v="1"/>
    <x v="0"/>
    <n v="36"/>
    <n v="0.31680000000000003"/>
    <n v="0.9143"/>
    <n v="2.0871"/>
    <n v="0.52200000000000002"/>
  </r>
  <r>
    <x v="1"/>
    <x v="2"/>
    <x v="1"/>
    <b v="0"/>
    <x v="1"/>
    <x v="1"/>
    <x v="3"/>
    <n v="36"/>
    <n v="0.2903"/>
    <n v="0.92210000000000003"/>
    <n v="2.1440999999999999"/>
    <n v="0.52449999999999997"/>
  </r>
  <r>
    <x v="1"/>
    <x v="2"/>
    <x v="1"/>
    <b v="0"/>
    <x v="1"/>
    <x v="1"/>
    <x v="4"/>
    <n v="39"/>
    <n v="0.25690000000000002"/>
    <n v="0.93030000000000002"/>
    <n v="2.2242000000000002"/>
    <n v="0.51100000000000001"/>
  </r>
  <r>
    <x v="1"/>
    <x v="2"/>
    <x v="1"/>
    <b v="0"/>
    <x v="1"/>
    <x v="1"/>
    <x v="1"/>
    <n v="34"/>
    <n v="0.22209999999999999"/>
    <n v="0.93910000000000005"/>
    <n v="2.3071000000000002"/>
    <n v="0.50949999999999995"/>
  </r>
  <r>
    <x v="1"/>
    <x v="2"/>
    <x v="1"/>
    <b v="0"/>
    <x v="1"/>
    <x v="0"/>
    <x v="5"/>
    <n v="37"/>
    <n v="1.2625999999999999"/>
    <n v="0.62790000000000001"/>
    <n v="1.724"/>
    <n v="0.54049999999999998"/>
  </r>
  <r>
    <x v="1"/>
    <x v="2"/>
    <x v="1"/>
    <b v="0"/>
    <x v="1"/>
    <x v="0"/>
    <x v="2"/>
    <n v="33"/>
    <n v="1.1728000000000001"/>
    <n v="0.65049999999999997"/>
    <n v="1.6947000000000001"/>
    <n v="0.54849999999999999"/>
  </r>
  <r>
    <x v="1"/>
    <x v="2"/>
    <x v="1"/>
    <b v="0"/>
    <x v="1"/>
    <x v="0"/>
    <x v="0"/>
    <n v="33"/>
    <n v="1.0881000000000001"/>
    <n v="0.68049999999999999"/>
    <n v="1.6950000000000001"/>
    <n v="0.55349999999999999"/>
  </r>
  <r>
    <x v="1"/>
    <x v="2"/>
    <x v="1"/>
    <b v="0"/>
    <x v="1"/>
    <x v="0"/>
    <x v="3"/>
    <n v="36"/>
    <n v="1.0071000000000001"/>
    <n v="0.69950000000000001"/>
    <n v="1.7031000000000001"/>
    <n v="0.56100000000000005"/>
  </r>
  <r>
    <x v="1"/>
    <x v="2"/>
    <x v="1"/>
    <b v="0"/>
    <x v="1"/>
    <x v="0"/>
    <x v="4"/>
    <n v="35"/>
    <n v="0.95050000000000001"/>
    <n v="0.71840000000000004"/>
    <n v="1.6904999999999999"/>
    <n v="0.55900000000000005"/>
  </r>
  <r>
    <x v="1"/>
    <x v="2"/>
    <x v="1"/>
    <b v="0"/>
    <x v="1"/>
    <x v="0"/>
    <x v="1"/>
    <n v="34"/>
    <n v="0.8821"/>
    <n v="0.74439999999999995"/>
    <n v="1.6727000000000001"/>
    <n v="0.56299999999999994"/>
  </r>
  <r>
    <x v="1"/>
    <x v="2"/>
    <x v="0"/>
    <b v="0"/>
    <x v="0"/>
    <x v="1"/>
    <x v="5"/>
    <n v="59"/>
    <n v="0.28910000000000002"/>
    <n v="0.91520000000000001"/>
    <n v="2.1934"/>
    <n v="0.50800000000000001"/>
  </r>
  <r>
    <x v="1"/>
    <x v="2"/>
    <x v="0"/>
    <b v="0"/>
    <x v="0"/>
    <x v="1"/>
    <x v="2"/>
    <n v="58"/>
    <n v="0.24979999999999999"/>
    <n v="0.92649999999999999"/>
    <n v="2.2124999999999999"/>
    <n v="0.52400000000000002"/>
  </r>
  <r>
    <x v="1"/>
    <x v="2"/>
    <x v="0"/>
    <b v="0"/>
    <x v="0"/>
    <x v="1"/>
    <x v="0"/>
    <n v="59"/>
    <n v="0.2319"/>
    <n v="0.93210000000000004"/>
    <n v="2.1265000000000001"/>
    <n v="0.53100000000000003"/>
  </r>
  <r>
    <x v="1"/>
    <x v="2"/>
    <x v="0"/>
    <b v="0"/>
    <x v="0"/>
    <x v="1"/>
    <x v="3"/>
    <n v="58"/>
    <n v="0.20669999999999999"/>
    <n v="0.93769999999999998"/>
    <n v="2.2018"/>
    <n v="0.52749999999999997"/>
  </r>
  <r>
    <x v="1"/>
    <x v="2"/>
    <x v="0"/>
    <b v="0"/>
    <x v="0"/>
    <x v="1"/>
    <x v="4"/>
    <n v="58"/>
    <n v="0.1915"/>
    <n v="0.94689999999999996"/>
    <n v="2.2338"/>
    <n v="0.51849999999999996"/>
  </r>
  <r>
    <x v="1"/>
    <x v="2"/>
    <x v="0"/>
    <b v="0"/>
    <x v="0"/>
    <x v="1"/>
    <x v="1"/>
    <n v="58"/>
    <n v="0.17230000000000001"/>
    <n v="0.94840000000000002"/>
    <n v="2.2810000000000001"/>
    <n v="0.53200000000000003"/>
  </r>
  <r>
    <x v="1"/>
    <x v="2"/>
    <x v="0"/>
    <b v="0"/>
    <x v="0"/>
    <x v="0"/>
    <x v="5"/>
    <n v="58"/>
    <n v="0.86329999999999996"/>
    <n v="0.74280000000000002"/>
    <n v="1.7229000000000001"/>
    <n v="0.55300000000000005"/>
  </r>
  <r>
    <x v="1"/>
    <x v="2"/>
    <x v="0"/>
    <b v="0"/>
    <x v="0"/>
    <x v="0"/>
    <x v="2"/>
    <n v="58"/>
    <n v="0.79490000000000005"/>
    <n v="0.76439999999999997"/>
    <n v="1.7451000000000001"/>
    <n v="0.54749999999999999"/>
  </r>
  <r>
    <x v="1"/>
    <x v="2"/>
    <x v="0"/>
    <b v="0"/>
    <x v="0"/>
    <x v="0"/>
    <x v="0"/>
    <n v="58"/>
    <n v="0.7319"/>
    <n v="0.77890000000000004"/>
    <n v="1.7057"/>
    <n v="0.5615"/>
  </r>
  <r>
    <x v="1"/>
    <x v="2"/>
    <x v="0"/>
    <b v="0"/>
    <x v="0"/>
    <x v="0"/>
    <x v="3"/>
    <n v="58"/>
    <n v="0.6482"/>
    <n v="0.81240000000000001"/>
    <n v="1.8303"/>
    <n v="0.52249999999999996"/>
  </r>
  <r>
    <x v="1"/>
    <x v="2"/>
    <x v="0"/>
    <b v="0"/>
    <x v="0"/>
    <x v="0"/>
    <x v="4"/>
    <n v="58"/>
    <n v="0.60550000000000004"/>
    <n v="0.8165"/>
    <n v="1.8372999999999999"/>
    <n v="0.54649999999999999"/>
  </r>
  <r>
    <x v="1"/>
    <x v="2"/>
    <x v="0"/>
    <b v="0"/>
    <x v="0"/>
    <x v="0"/>
    <x v="1"/>
    <n v="58"/>
    <n v="0.55120000000000002"/>
    <n v="0.83250000000000002"/>
    <n v="1.88"/>
    <n v="0.53700000000000003"/>
  </r>
  <r>
    <x v="1"/>
    <x v="2"/>
    <x v="0"/>
    <b v="0"/>
    <x v="1"/>
    <x v="1"/>
    <x v="5"/>
    <n v="60"/>
    <n v="0.35720000000000002"/>
    <n v="0.89780000000000004"/>
    <n v="1.9637"/>
    <n v="0.53249999999999997"/>
  </r>
  <r>
    <x v="1"/>
    <x v="2"/>
    <x v="0"/>
    <b v="0"/>
    <x v="1"/>
    <x v="1"/>
    <x v="2"/>
    <n v="60"/>
    <n v="0.30859999999999999"/>
    <n v="0.91100000000000003"/>
    <n v="1.954"/>
    <n v="0.54449999999999998"/>
  </r>
  <r>
    <x v="1"/>
    <x v="2"/>
    <x v="0"/>
    <b v="0"/>
    <x v="1"/>
    <x v="1"/>
    <x v="0"/>
    <n v="67"/>
    <n v="0.25480000000000003"/>
    <n v="0.92589999999999995"/>
    <n v="2.0556000000000001"/>
    <n v="0.54349999999999998"/>
  </r>
  <r>
    <x v="1"/>
    <x v="2"/>
    <x v="0"/>
    <b v="0"/>
    <x v="1"/>
    <x v="1"/>
    <x v="3"/>
    <n v="63"/>
    <n v="0.2298"/>
    <n v="0.93340000000000001"/>
    <n v="2.0817999999999999"/>
    <n v="0.54549999999999998"/>
  </r>
  <r>
    <x v="1"/>
    <x v="2"/>
    <x v="0"/>
    <b v="0"/>
    <x v="1"/>
    <x v="1"/>
    <x v="4"/>
    <n v="62"/>
    <n v="0.20499999999999999"/>
    <n v="0.93889999999999996"/>
    <n v="2.1236999999999999"/>
    <n v="0.54149999999999998"/>
  </r>
  <r>
    <x v="1"/>
    <x v="2"/>
    <x v="0"/>
    <b v="0"/>
    <x v="1"/>
    <x v="1"/>
    <x v="1"/>
    <n v="64"/>
    <n v="0.18920000000000001"/>
    <n v="0.94510000000000005"/>
    <n v="2.1957"/>
    <n v="0.52549999999999997"/>
  </r>
  <r>
    <x v="1"/>
    <x v="2"/>
    <x v="0"/>
    <b v="0"/>
    <x v="1"/>
    <x v="0"/>
    <x v="5"/>
    <n v="60"/>
    <n v="1.0611999999999999"/>
    <n v="0.6875"/>
    <n v="1.6368"/>
    <n v="0.55500000000000005"/>
  </r>
  <r>
    <x v="1"/>
    <x v="2"/>
    <x v="0"/>
    <b v="0"/>
    <x v="1"/>
    <x v="0"/>
    <x v="2"/>
    <n v="60"/>
    <n v="1.0066999999999999"/>
    <n v="0.7"/>
    <n v="1.6620999999999999"/>
    <n v="0.56000000000000005"/>
  </r>
  <r>
    <x v="1"/>
    <x v="2"/>
    <x v="0"/>
    <b v="0"/>
    <x v="1"/>
    <x v="0"/>
    <x v="0"/>
    <n v="63"/>
    <n v="0.93710000000000004"/>
    <n v="0.72450000000000003"/>
    <n v="1.6677999999999999"/>
    <n v="0.55449999999999999"/>
  </r>
  <r>
    <x v="1"/>
    <x v="2"/>
    <x v="0"/>
    <b v="0"/>
    <x v="1"/>
    <x v="0"/>
    <x v="3"/>
    <n v="61"/>
    <n v="0.86539999999999995"/>
    <n v="0.74419999999999997"/>
    <n v="1.6264000000000001"/>
    <n v="0.55900000000000005"/>
  </r>
  <r>
    <x v="1"/>
    <x v="2"/>
    <x v="0"/>
    <b v="0"/>
    <x v="1"/>
    <x v="0"/>
    <x v="4"/>
    <n v="64"/>
    <n v="0.80859999999999999"/>
    <n v="0.76749999999999996"/>
    <n v="1.6738999999999999"/>
    <n v="0.55200000000000005"/>
  </r>
  <r>
    <x v="1"/>
    <x v="2"/>
    <x v="0"/>
    <b v="0"/>
    <x v="1"/>
    <x v="0"/>
    <x v="1"/>
    <n v="62"/>
    <n v="0.75249999999999995"/>
    <n v="0.78100000000000003"/>
    <n v="1.7115"/>
    <n v="0.55100000000000005"/>
  </r>
  <r>
    <x v="1"/>
    <x v="2"/>
    <x v="2"/>
    <b v="0"/>
    <x v="0"/>
    <x v="1"/>
    <x v="5"/>
    <n v="113"/>
    <n v="0.29409999999999997"/>
    <n v="0.91390000000000005"/>
    <n v="2.028"/>
    <n v="0.53849999999999998"/>
  </r>
  <r>
    <x v="1"/>
    <x v="2"/>
    <x v="2"/>
    <b v="0"/>
    <x v="0"/>
    <x v="1"/>
    <x v="2"/>
    <n v="112"/>
    <n v="0.24529999999999999"/>
    <n v="0.92310000000000003"/>
    <n v="2.0133000000000001"/>
    <n v="0.53849999999999998"/>
  </r>
  <r>
    <x v="1"/>
    <x v="2"/>
    <x v="2"/>
    <b v="0"/>
    <x v="0"/>
    <x v="1"/>
    <x v="0"/>
    <n v="115"/>
    <n v="0.2341"/>
    <n v="0.93"/>
    <n v="2.0693000000000001"/>
    <n v="0.52449999999999997"/>
  </r>
  <r>
    <x v="1"/>
    <x v="2"/>
    <x v="2"/>
    <b v="0"/>
    <x v="0"/>
    <x v="1"/>
    <x v="3"/>
    <n v="115"/>
    <n v="0.2006"/>
    <n v="0.94369999999999998"/>
    <n v="2.0840999999999998"/>
    <n v="0.52449999999999997"/>
  </r>
  <r>
    <x v="1"/>
    <x v="2"/>
    <x v="2"/>
    <b v="0"/>
    <x v="0"/>
    <x v="1"/>
    <x v="4"/>
    <n v="114"/>
    <n v="0.18490000000000001"/>
    <n v="0.94489999999999996"/>
    <n v="2.1652"/>
    <n v="0.52649999999999997"/>
  </r>
  <r>
    <x v="1"/>
    <x v="2"/>
    <x v="2"/>
    <b v="0"/>
    <x v="0"/>
    <x v="1"/>
    <x v="1"/>
    <n v="115"/>
    <n v="0.16309999999999999"/>
    <n v="0.95089999999999997"/>
    <n v="2.2416"/>
    <n v="0.52600000000000002"/>
  </r>
  <r>
    <x v="1"/>
    <x v="2"/>
    <x v="2"/>
    <b v="0"/>
    <x v="0"/>
    <x v="0"/>
    <x v="5"/>
    <n v="115"/>
    <n v="0.84509999999999996"/>
    <n v="0.74760000000000004"/>
    <n v="1.7364999999999999"/>
    <n v="0.53949999999999998"/>
  </r>
  <r>
    <x v="1"/>
    <x v="2"/>
    <x v="2"/>
    <b v="0"/>
    <x v="0"/>
    <x v="0"/>
    <x v="2"/>
    <n v="115"/>
    <n v="0.76690000000000003"/>
    <n v="0.76880000000000004"/>
    <n v="1.6671"/>
    <n v="0.56599999999999995"/>
  </r>
  <r>
    <x v="1"/>
    <x v="2"/>
    <x v="2"/>
    <b v="0"/>
    <x v="0"/>
    <x v="0"/>
    <x v="0"/>
    <n v="115"/>
    <n v="0.71309999999999996"/>
    <n v="0.78710000000000002"/>
    <n v="1.7745"/>
    <n v="0.55700000000000005"/>
  </r>
  <r>
    <x v="1"/>
    <x v="2"/>
    <x v="2"/>
    <b v="0"/>
    <x v="0"/>
    <x v="0"/>
    <x v="3"/>
    <n v="114"/>
    <n v="0.64490000000000003"/>
    <n v="0.81079999999999997"/>
    <n v="1.7118"/>
    <n v="0.5585"/>
  </r>
  <r>
    <x v="1"/>
    <x v="2"/>
    <x v="2"/>
    <b v="0"/>
    <x v="0"/>
    <x v="0"/>
    <x v="4"/>
    <n v="114"/>
    <n v="0.57650000000000001"/>
    <n v="0.82289999999999996"/>
    <n v="1.7890999999999999"/>
    <n v="0.55200000000000005"/>
  </r>
  <r>
    <x v="1"/>
    <x v="2"/>
    <x v="2"/>
    <b v="0"/>
    <x v="0"/>
    <x v="0"/>
    <x v="1"/>
    <n v="113"/>
    <n v="0.53600000000000003"/>
    <n v="0.83589999999999998"/>
    <n v="1.8609"/>
    <n v="0.55549999999999999"/>
  </r>
  <r>
    <x v="1"/>
    <x v="2"/>
    <x v="2"/>
    <b v="0"/>
    <x v="1"/>
    <x v="1"/>
    <x v="5"/>
    <n v="120"/>
    <n v="0.34050000000000002"/>
    <n v="0.90339999999999998"/>
    <n v="1.9975000000000001"/>
    <n v="0.53549999999999998"/>
  </r>
  <r>
    <x v="1"/>
    <x v="2"/>
    <x v="2"/>
    <b v="0"/>
    <x v="1"/>
    <x v="1"/>
    <x v="2"/>
    <n v="120"/>
    <n v="0.28079999999999999"/>
    <n v="0.91649999999999998"/>
    <n v="1.9462999999999999"/>
    <n v="0.54700000000000004"/>
  </r>
  <r>
    <x v="1"/>
    <x v="2"/>
    <x v="2"/>
    <b v="0"/>
    <x v="1"/>
    <x v="1"/>
    <x v="0"/>
    <n v="116"/>
    <n v="0.2535"/>
    <n v="0.92210000000000003"/>
    <n v="2.1320999999999999"/>
    <n v="0.53200000000000003"/>
  </r>
  <r>
    <x v="1"/>
    <x v="2"/>
    <x v="2"/>
    <b v="0"/>
    <x v="1"/>
    <x v="1"/>
    <x v="3"/>
    <n v="119"/>
    <n v="0.23499999999999999"/>
    <n v="0.9325"/>
    <n v="2.0960999999999999"/>
    <n v="0.54600000000000004"/>
  </r>
  <r>
    <x v="1"/>
    <x v="2"/>
    <x v="2"/>
    <b v="0"/>
    <x v="1"/>
    <x v="1"/>
    <x v="4"/>
    <n v="123"/>
    <n v="0.21659999999999999"/>
    <n v="0.93810000000000004"/>
    <n v="2.1356000000000002"/>
    <n v="0.53600000000000003"/>
  </r>
  <r>
    <x v="1"/>
    <x v="2"/>
    <x v="2"/>
    <b v="0"/>
    <x v="1"/>
    <x v="1"/>
    <x v="1"/>
    <n v="120"/>
    <n v="0.1706"/>
    <n v="0.94910000000000005"/>
    <n v="2.2113"/>
    <n v="0.54649999999999999"/>
  </r>
  <r>
    <x v="1"/>
    <x v="2"/>
    <x v="2"/>
    <b v="0"/>
    <x v="1"/>
    <x v="0"/>
    <x v="5"/>
    <n v="119"/>
    <n v="1.0432999999999999"/>
    <n v="0.68559999999999999"/>
    <n v="1.6733"/>
    <n v="0.55149999999999999"/>
  </r>
  <r>
    <x v="1"/>
    <x v="2"/>
    <x v="2"/>
    <b v="0"/>
    <x v="1"/>
    <x v="0"/>
    <x v="2"/>
    <n v="119"/>
    <n v="0.96830000000000005"/>
    <n v="0.70740000000000003"/>
    <n v="1.7096"/>
    <n v="0.54500000000000004"/>
  </r>
  <r>
    <x v="1"/>
    <x v="2"/>
    <x v="2"/>
    <b v="0"/>
    <x v="1"/>
    <x v="0"/>
    <x v="0"/>
    <n v="119"/>
    <n v="0.91159999999999997"/>
    <n v="0.73050000000000004"/>
    <n v="1.7553000000000001"/>
    <n v="0.54049999999999998"/>
  </r>
  <r>
    <x v="1"/>
    <x v="2"/>
    <x v="2"/>
    <b v="0"/>
    <x v="1"/>
    <x v="0"/>
    <x v="3"/>
    <n v="119"/>
    <n v="0.81850000000000001"/>
    <n v="0.76029999999999998"/>
    <n v="1.7057"/>
    <n v="0.54349999999999998"/>
  </r>
  <r>
    <x v="1"/>
    <x v="2"/>
    <x v="2"/>
    <b v="0"/>
    <x v="1"/>
    <x v="0"/>
    <x v="4"/>
    <n v="119"/>
    <n v="0.7621"/>
    <n v="0.77070000000000005"/>
    <n v="1.639"/>
    <n v="0.55700000000000005"/>
  </r>
  <r>
    <x v="1"/>
    <x v="2"/>
    <x v="2"/>
    <b v="0"/>
    <x v="1"/>
    <x v="0"/>
    <x v="1"/>
    <n v="120"/>
    <n v="0.71299999999999997"/>
    <n v="0.79110000000000003"/>
    <n v="1.7148000000000001"/>
    <n v="0.54549999999999998"/>
  </r>
  <r>
    <x v="1"/>
    <x v="0"/>
    <x v="1"/>
    <b v="0"/>
    <x v="0"/>
    <x v="1"/>
    <x v="5"/>
    <n v="37"/>
    <n v="0.46610000000000001"/>
    <n v="0.86519999999999997"/>
    <n v="2.1118000000000001"/>
    <n v="0.52700000000000002"/>
  </r>
  <r>
    <x v="1"/>
    <x v="0"/>
    <x v="1"/>
    <b v="0"/>
    <x v="0"/>
    <x v="1"/>
    <x v="2"/>
    <n v="37"/>
    <n v="0.42230000000000001"/>
    <n v="0.878"/>
    <n v="2.0956000000000001"/>
    <n v="0.51949999999999996"/>
  </r>
  <r>
    <x v="1"/>
    <x v="0"/>
    <x v="1"/>
    <b v="0"/>
    <x v="0"/>
    <x v="1"/>
    <x v="0"/>
    <n v="37"/>
    <n v="0.38030000000000003"/>
    <n v="0.8861"/>
    <n v="2.1419000000000001"/>
    <n v="0.50549999999999995"/>
  </r>
  <r>
    <x v="1"/>
    <x v="0"/>
    <x v="1"/>
    <b v="0"/>
    <x v="0"/>
    <x v="1"/>
    <x v="3"/>
    <n v="37"/>
    <n v="0.34089999999999998"/>
    <n v="0.90159999999999996"/>
    <n v="2.2450999999999999"/>
    <n v="0.501"/>
  </r>
  <r>
    <x v="1"/>
    <x v="0"/>
    <x v="1"/>
    <b v="0"/>
    <x v="0"/>
    <x v="1"/>
    <x v="4"/>
    <n v="37"/>
    <n v="0.32269999999999999"/>
    <n v="0.90500000000000003"/>
    <n v="2.2625999999999999"/>
    <n v="0.52500000000000002"/>
  </r>
  <r>
    <x v="1"/>
    <x v="0"/>
    <x v="1"/>
    <b v="0"/>
    <x v="0"/>
    <x v="1"/>
    <x v="1"/>
    <n v="37"/>
    <n v="0.2979"/>
    <n v="0.91679999999999995"/>
    <n v="2.2883"/>
    <n v="0.52649999999999997"/>
  </r>
  <r>
    <x v="1"/>
    <x v="0"/>
    <x v="1"/>
    <b v="0"/>
    <x v="0"/>
    <x v="0"/>
    <x v="5"/>
    <n v="36"/>
    <n v="1.1944999999999999"/>
    <n v="0.64339999999999997"/>
    <n v="1.7955000000000001"/>
    <n v="0.51249999999999996"/>
  </r>
  <r>
    <x v="1"/>
    <x v="0"/>
    <x v="1"/>
    <b v="0"/>
    <x v="0"/>
    <x v="0"/>
    <x v="2"/>
    <n v="36"/>
    <n v="1.0891999999999999"/>
    <n v="0.67349999999999999"/>
    <n v="1.7249000000000001"/>
    <n v="0.53949999999999998"/>
  </r>
  <r>
    <x v="1"/>
    <x v="0"/>
    <x v="1"/>
    <b v="0"/>
    <x v="0"/>
    <x v="0"/>
    <x v="0"/>
    <n v="36"/>
    <n v="1.0039"/>
    <n v="0.69850000000000001"/>
    <n v="1.7250000000000001"/>
    <n v="0.54649999999999999"/>
  </r>
  <r>
    <x v="1"/>
    <x v="0"/>
    <x v="1"/>
    <b v="0"/>
    <x v="0"/>
    <x v="0"/>
    <x v="3"/>
    <n v="36"/>
    <n v="0.95050000000000001"/>
    <n v="0.71919999999999995"/>
    <n v="1.7415"/>
    <n v="0.54800000000000004"/>
  </r>
  <r>
    <x v="1"/>
    <x v="0"/>
    <x v="1"/>
    <b v="0"/>
    <x v="0"/>
    <x v="0"/>
    <x v="4"/>
    <n v="36"/>
    <n v="0.89859999999999995"/>
    <n v="0.73460000000000003"/>
    <n v="1.7366999999999999"/>
    <n v="0.54549999999999998"/>
  </r>
  <r>
    <x v="1"/>
    <x v="0"/>
    <x v="1"/>
    <b v="0"/>
    <x v="0"/>
    <x v="0"/>
    <x v="1"/>
    <n v="36"/>
    <n v="0.84279999999999999"/>
    <n v="0.75209999999999999"/>
    <n v="1.7807999999999999"/>
    <n v="0.54649999999999999"/>
  </r>
  <r>
    <x v="1"/>
    <x v="0"/>
    <x v="1"/>
    <b v="0"/>
    <x v="1"/>
    <x v="1"/>
    <x v="5"/>
    <n v="38"/>
    <n v="0.64239999999999997"/>
    <n v="0.81259999999999999"/>
    <n v="1.8624000000000001"/>
    <n v="0.52900000000000003"/>
  </r>
  <r>
    <x v="1"/>
    <x v="0"/>
    <x v="1"/>
    <b v="0"/>
    <x v="1"/>
    <x v="1"/>
    <x v="2"/>
    <n v="38"/>
    <n v="0.54869999999999997"/>
    <n v="0.84450000000000003"/>
    <n v="1.9007000000000001"/>
    <n v="0.53449999999999998"/>
  </r>
  <r>
    <x v="1"/>
    <x v="0"/>
    <x v="1"/>
    <b v="0"/>
    <x v="1"/>
    <x v="1"/>
    <x v="0"/>
    <n v="38"/>
    <n v="0.50839999999999996"/>
    <n v="0.8538"/>
    <n v="1.9079999999999999"/>
    <n v="0.54349999999999998"/>
  </r>
  <r>
    <x v="1"/>
    <x v="0"/>
    <x v="1"/>
    <b v="0"/>
    <x v="1"/>
    <x v="1"/>
    <x v="3"/>
    <n v="38"/>
    <n v="0.42520000000000002"/>
    <n v="0.87890000000000001"/>
    <n v="1.9422999999999999"/>
    <n v="0.55649999999999999"/>
  </r>
  <r>
    <x v="1"/>
    <x v="0"/>
    <x v="1"/>
    <b v="0"/>
    <x v="1"/>
    <x v="1"/>
    <x v="4"/>
    <n v="38"/>
    <n v="0.3952"/>
    <n v="0.88700000000000001"/>
    <n v="1.9711000000000001"/>
    <n v="0.54649999999999999"/>
  </r>
  <r>
    <x v="1"/>
    <x v="0"/>
    <x v="1"/>
    <b v="0"/>
    <x v="1"/>
    <x v="1"/>
    <x v="1"/>
    <n v="38"/>
    <n v="0.36220000000000002"/>
    <n v="0.89639999999999997"/>
    <n v="2.0356999999999998"/>
    <n v="0.54200000000000004"/>
  </r>
  <r>
    <x v="1"/>
    <x v="0"/>
    <x v="1"/>
    <b v="0"/>
    <x v="1"/>
    <x v="0"/>
    <x v="5"/>
    <n v="39"/>
    <n v="1.3940999999999999"/>
    <n v="0.58499999999999996"/>
    <n v="1.7745"/>
    <n v="0.51349999999999996"/>
  </r>
  <r>
    <x v="1"/>
    <x v="0"/>
    <x v="1"/>
    <b v="0"/>
    <x v="1"/>
    <x v="0"/>
    <x v="2"/>
    <n v="40"/>
    <n v="1.2938000000000001"/>
    <n v="0.61050000000000004"/>
    <n v="1.7628999999999999"/>
    <n v="0.51949999999999996"/>
  </r>
  <r>
    <x v="1"/>
    <x v="0"/>
    <x v="1"/>
    <b v="0"/>
    <x v="1"/>
    <x v="0"/>
    <x v="0"/>
    <n v="40"/>
    <n v="1.2408999999999999"/>
    <n v="0.63160000000000005"/>
    <n v="1.7119"/>
    <n v="0.53900000000000003"/>
  </r>
  <r>
    <x v="1"/>
    <x v="0"/>
    <x v="1"/>
    <b v="0"/>
    <x v="1"/>
    <x v="0"/>
    <x v="3"/>
    <n v="39"/>
    <n v="1.1850000000000001"/>
    <n v="0.64449999999999996"/>
    <n v="1.6915"/>
    <n v="0.54649999999999999"/>
  </r>
  <r>
    <x v="1"/>
    <x v="0"/>
    <x v="1"/>
    <b v="0"/>
    <x v="1"/>
    <x v="0"/>
    <x v="4"/>
    <n v="39"/>
    <n v="1.1357999999999999"/>
    <n v="0.66690000000000005"/>
    <n v="1.6559999999999999"/>
    <n v="0.55649999999999999"/>
  </r>
  <r>
    <x v="1"/>
    <x v="0"/>
    <x v="1"/>
    <b v="0"/>
    <x v="1"/>
    <x v="0"/>
    <x v="1"/>
    <n v="39"/>
    <n v="1.0564"/>
    <n v="0.69089999999999996"/>
    <n v="1.6901999999999999"/>
    <n v="0.54600000000000004"/>
  </r>
  <r>
    <x v="1"/>
    <x v="0"/>
    <x v="0"/>
    <b v="0"/>
    <x v="0"/>
    <x v="1"/>
    <x v="5"/>
    <n v="59"/>
    <n v="0.42249999999999999"/>
    <n v="0.875"/>
    <n v="2.0407999999999999"/>
    <n v="0.51649999999999996"/>
  </r>
  <r>
    <x v="1"/>
    <x v="0"/>
    <x v="0"/>
    <b v="0"/>
    <x v="0"/>
    <x v="1"/>
    <x v="2"/>
    <n v="59"/>
    <n v="0.3569"/>
    <n v="0.89219999999999999"/>
    <n v="2.048"/>
    <n v="0.52249999999999996"/>
  </r>
  <r>
    <x v="1"/>
    <x v="0"/>
    <x v="0"/>
    <b v="0"/>
    <x v="0"/>
    <x v="1"/>
    <x v="0"/>
    <n v="59"/>
    <n v="0.34200000000000003"/>
    <n v="0.89949999999999997"/>
    <n v="2.0590999999999999"/>
    <n v="0.52749999999999997"/>
  </r>
  <r>
    <x v="1"/>
    <x v="0"/>
    <x v="0"/>
    <b v="0"/>
    <x v="0"/>
    <x v="1"/>
    <x v="3"/>
    <n v="59"/>
    <n v="0.32440000000000002"/>
    <n v="0.90439999999999998"/>
    <n v="2.1166999999999998"/>
    <n v="0.54549999999999998"/>
  </r>
  <r>
    <x v="1"/>
    <x v="0"/>
    <x v="0"/>
    <b v="0"/>
    <x v="0"/>
    <x v="1"/>
    <x v="4"/>
    <n v="59"/>
    <n v="0.25840000000000002"/>
    <n v="0.91949999999999998"/>
    <n v="2.2275999999999998"/>
    <n v="0.52149999999999996"/>
  </r>
  <r>
    <x v="1"/>
    <x v="0"/>
    <x v="0"/>
    <b v="0"/>
    <x v="0"/>
    <x v="1"/>
    <x v="1"/>
    <n v="59"/>
    <n v="0.2576"/>
    <n v="0.92300000000000004"/>
    <n v="2.1863000000000001"/>
    <n v="0.53100000000000003"/>
  </r>
  <r>
    <x v="1"/>
    <x v="0"/>
    <x v="0"/>
    <b v="0"/>
    <x v="0"/>
    <x v="0"/>
    <x v="5"/>
    <n v="58"/>
    <n v="1.0277000000000001"/>
    <n v="0.6925"/>
    <n v="1.7102999999999999"/>
    <n v="0.54049999999999998"/>
  </r>
  <r>
    <x v="1"/>
    <x v="0"/>
    <x v="0"/>
    <b v="0"/>
    <x v="0"/>
    <x v="0"/>
    <x v="2"/>
    <n v="58"/>
    <n v="0.96250000000000002"/>
    <n v="0.71689999999999998"/>
    <n v="1.6711"/>
    <n v="0.54449999999999998"/>
  </r>
  <r>
    <x v="1"/>
    <x v="0"/>
    <x v="0"/>
    <b v="0"/>
    <x v="0"/>
    <x v="0"/>
    <x v="0"/>
    <n v="58"/>
    <n v="0.89229999999999998"/>
    <n v="0.73370000000000002"/>
    <n v="1.6407"/>
    <n v="0.55449999999999999"/>
  </r>
  <r>
    <x v="1"/>
    <x v="0"/>
    <x v="0"/>
    <b v="0"/>
    <x v="0"/>
    <x v="0"/>
    <x v="3"/>
    <n v="58"/>
    <n v="0.83930000000000005"/>
    <n v="0.74939999999999996"/>
    <n v="1.7178"/>
    <n v="0.54949999999999999"/>
  </r>
  <r>
    <x v="1"/>
    <x v="0"/>
    <x v="0"/>
    <b v="0"/>
    <x v="0"/>
    <x v="0"/>
    <x v="4"/>
    <n v="61"/>
    <n v="0.77539999999999998"/>
    <n v="0.76959999999999995"/>
    <n v="1.7491000000000001"/>
    <n v="0.54200000000000004"/>
  </r>
  <r>
    <x v="1"/>
    <x v="0"/>
    <x v="0"/>
    <b v="0"/>
    <x v="0"/>
    <x v="0"/>
    <x v="1"/>
    <n v="58"/>
    <n v="0.73229999999999995"/>
    <n v="0.78090000000000004"/>
    <n v="1.6818"/>
    <n v="0.55500000000000005"/>
  </r>
  <r>
    <x v="1"/>
    <x v="0"/>
    <x v="0"/>
    <b v="0"/>
    <x v="1"/>
    <x v="1"/>
    <x v="5"/>
    <n v="61"/>
    <n v="0.54490000000000005"/>
    <n v="0.83950000000000002"/>
    <n v="1.776"/>
    <n v="0.55900000000000005"/>
  </r>
  <r>
    <x v="1"/>
    <x v="0"/>
    <x v="0"/>
    <b v="0"/>
    <x v="1"/>
    <x v="1"/>
    <x v="2"/>
    <n v="61"/>
    <n v="0.46800000000000003"/>
    <n v="0.8629"/>
    <n v="1.8262"/>
    <n v="0.53749999999999998"/>
  </r>
  <r>
    <x v="1"/>
    <x v="0"/>
    <x v="0"/>
    <b v="0"/>
    <x v="1"/>
    <x v="1"/>
    <x v="0"/>
    <n v="61"/>
    <n v="0.41399999999999998"/>
    <n v="0.87549999999999994"/>
    <n v="1.8562000000000001"/>
    <n v="0.54649999999999999"/>
  </r>
  <r>
    <x v="1"/>
    <x v="0"/>
    <x v="0"/>
    <b v="0"/>
    <x v="1"/>
    <x v="1"/>
    <x v="3"/>
    <n v="62"/>
    <n v="0.37640000000000001"/>
    <n v="0.88719999999999999"/>
    <n v="1.8843000000000001"/>
    <n v="0.55349999999999999"/>
  </r>
  <r>
    <x v="1"/>
    <x v="0"/>
    <x v="0"/>
    <b v="0"/>
    <x v="1"/>
    <x v="1"/>
    <x v="4"/>
    <n v="61"/>
    <n v="0.33789999999999998"/>
    <n v="0.90290000000000004"/>
    <n v="1.9470000000000001"/>
    <n v="0.55149999999999999"/>
  </r>
  <r>
    <x v="1"/>
    <x v="0"/>
    <x v="0"/>
    <b v="0"/>
    <x v="1"/>
    <x v="1"/>
    <x v="1"/>
    <n v="61"/>
    <n v="0.30859999999999999"/>
    <n v="0.91190000000000004"/>
    <n v="1.9359999999999999"/>
    <n v="0.54200000000000004"/>
  </r>
  <r>
    <x v="1"/>
    <x v="0"/>
    <x v="0"/>
    <b v="0"/>
    <x v="1"/>
    <x v="0"/>
    <x v="5"/>
    <n v="61"/>
    <n v="1.2748999999999999"/>
    <n v="0.61209999999999998"/>
    <n v="1.6859999999999999"/>
    <n v="0.54249999999999998"/>
  </r>
  <r>
    <x v="1"/>
    <x v="0"/>
    <x v="0"/>
    <b v="0"/>
    <x v="1"/>
    <x v="0"/>
    <x v="2"/>
    <n v="61"/>
    <n v="1.1859"/>
    <n v="0.64610000000000001"/>
    <n v="1.6675"/>
    <n v="0.54500000000000004"/>
  </r>
  <r>
    <x v="1"/>
    <x v="0"/>
    <x v="0"/>
    <b v="0"/>
    <x v="1"/>
    <x v="0"/>
    <x v="0"/>
    <n v="61"/>
    <n v="1.1060000000000001"/>
    <n v="0.67279999999999995"/>
    <n v="1.6292"/>
    <n v="0.55249999999999999"/>
  </r>
  <r>
    <x v="1"/>
    <x v="0"/>
    <x v="0"/>
    <b v="0"/>
    <x v="1"/>
    <x v="0"/>
    <x v="3"/>
    <n v="61"/>
    <n v="1.0429999999999999"/>
    <n v="0.6875"/>
    <n v="1.6319999999999999"/>
    <n v="0.5585"/>
  </r>
  <r>
    <x v="1"/>
    <x v="0"/>
    <x v="0"/>
    <b v="0"/>
    <x v="1"/>
    <x v="0"/>
    <x v="4"/>
    <n v="61"/>
    <n v="1.0021"/>
    <n v="0.70689999999999997"/>
    <n v="1.6754"/>
    <n v="0.54900000000000004"/>
  </r>
  <r>
    <x v="1"/>
    <x v="0"/>
    <x v="0"/>
    <b v="0"/>
    <x v="1"/>
    <x v="0"/>
    <x v="1"/>
    <n v="61"/>
    <n v="0.95069999999999999"/>
    <n v="0.71630000000000005"/>
    <n v="1.6247"/>
    <n v="0.55249999999999999"/>
  </r>
  <r>
    <x v="1"/>
    <x v="0"/>
    <x v="2"/>
    <b v="0"/>
    <x v="0"/>
    <x v="1"/>
    <x v="5"/>
    <n v="116"/>
    <n v="0.39350000000000002"/>
    <n v="0.88339999999999996"/>
    <n v="1.8731"/>
    <n v="0.54700000000000004"/>
  </r>
  <r>
    <x v="1"/>
    <x v="0"/>
    <x v="2"/>
    <b v="0"/>
    <x v="0"/>
    <x v="1"/>
    <x v="2"/>
    <n v="117"/>
    <n v="0.34810000000000002"/>
    <n v="0.89739999999999998"/>
    <n v="1.9120999999999999"/>
    <n v="0.53500000000000003"/>
  </r>
  <r>
    <x v="1"/>
    <x v="0"/>
    <x v="2"/>
    <b v="0"/>
    <x v="0"/>
    <x v="1"/>
    <x v="0"/>
    <n v="117"/>
    <n v="0.30769999999999997"/>
    <n v="0.90710000000000002"/>
    <n v="1.8931"/>
    <n v="0.54949999999999999"/>
  </r>
  <r>
    <x v="1"/>
    <x v="0"/>
    <x v="2"/>
    <b v="0"/>
    <x v="0"/>
    <x v="1"/>
    <x v="3"/>
    <n v="117"/>
    <n v="0.26150000000000001"/>
    <n v="0.92110000000000003"/>
    <n v="1.9630000000000001"/>
    <n v="0.54549999999999998"/>
  </r>
  <r>
    <x v="1"/>
    <x v="0"/>
    <x v="2"/>
    <b v="0"/>
    <x v="0"/>
    <x v="1"/>
    <x v="4"/>
    <n v="117"/>
    <n v="0.24610000000000001"/>
    <n v="0.92889999999999995"/>
    <n v="2.0402"/>
    <n v="0.54700000000000004"/>
  </r>
  <r>
    <x v="1"/>
    <x v="0"/>
    <x v="2"/>
    <b v="0"/>
    <x v="0"/>
    <x v="1"/>
    <x v="1"/>
    <n v="117"/>
    <n v="0.22239999999999999"/>
    <n v="0.93259999999999998"/>
    <n v="2.1109"/>
    <n v="0.52249999999999996"/>
  </r>
  <r>
    <x v="1"/>
    <x v="0"/>
    <x v="2"/>
    <b v="0"/>
    <x v="0"/>
    <x v="0"/>
    <x v="5"/>
    <n v="116"/>
    <n v="1.0350999999999999"/>
    <n v="0.68789999999999996"/>
    <n v="1.6573"/>
    <n v="0.55000000000000004"/>
  </r>
  <r>
    <x v="1"/>
    <x v="0"/>
    <x v="2"/>
    <b v="0"/>
    <x v="0"/>
    <x v="0"/>
    <x v="2"/>
    <n v="115"/>
    <n v="0.9728"/>
    <n v="0.70409999999999995"/>
    <n v="1.6774"/>
    <n v="0.55600000000000005"/>
  </r>
  <r>
    <x v="1"/>
    <x v="0"/>
    <x v="2"/>
    <b v="0"/>
    <x v="0"/>
    <x v="0"/>
    <x v="0"/>
    <n v="115"/>
    <n v="0.90600000000000003"/>
    <n v="0.7238"/>
    <n v="1.6475"/>
    <n v="0.55649999999999999"/>
  </r>
  <r>
    <x v="1"/>
    <x v="0"/>
    <x v="2"/>
    <b v="0"/>
    <x v="0"/>
    <x v="0"/>
    <x v="3"/>
    <n v="115"/>
    <n v="0.83020000000000005"/>
    <n v="0.74919999999999998"/>
    <n v="1.704"/>
    <n v="0.55149999999999999"/>
  </r>
  <r>
    <x v="1"/>
    <x v="0"/>
    <x v="2"/>
    <b v="0"/>
    <x v="0"/>
    <x v="0"/>
    <x v="4"/>
    <n v="115"/>
    <n v="0.78420000000000001"/>
    <n v="0.76719999999999999"/>
    <n v="1.7341"/>
    <n v="0.54449999999999998"/>
  </r>
  <r>
    <x v="1"/>
    <x v="0"/>
    <x v="2"/>
    <b v="0"/>
    <x v="0"/>
    <x v="0"/>
    <x v="1"/>
    <n v="115"/>
    <n v="0.71260000000000001"/>
    <n v="0.78159999999999996"/>
    <n v="1.7443"/>
    <n v="0.55600000000000005"/>
  </r>
  <r>
    <x v="1"/>
    <x v="0"/>
    <x v="2"/>
    <b v="0"/>
    <x v="1"/>
    <x v="1"/>
    <x v="5"/>
    <n v="119"/>
    <n v="0.45700000000000002"/>
    <n v="0.86409999999999998"/>
    <n v="1.8371"/>
    <n v="0.54200000000000004"/>
  </r>
  <r>
    <x v="1"/>
    <x v="0"/>
    <x v="2"/>
    <b v="0"/>
    <x v="1"/>
    <x v="1"/>
    <x v="2"/>
    <n v="119"/>
    <n v="0.40279999999999999"/>
    <n v="0.88080000000000003"/>
    <n v="1.8489"/>
    <n v="0.54649999999999999"/>
  </r>
  <r>
    <x v="1"/>
    <x v="0"/>
    <x v="2"/>
    <b v="0"/>
    <x v="1"/>
    <x v="1"/>
    <x v="0"/>
    <n v="118"/>
    <n v="0.34470000000000001"/>
    <n v="0.89590000000000003"/>
    <n v="1.9369000000000001"/>
    <n v="0.54200000000000004"/>
  </r>
  <r>
    <x v="1"/>
    <x v="0"/>
    <x v="2"/>
    <b v="0"/>
    <x v="1"/>
    <x v="1"/>
    <x v="3"/>
    <n v="119"/>
    <n v="0.31319999999999998"/>
    <n v="0.90900000000000003"/>
    <n v="1.9819"/>
    <n v="0.55100000000000005"/>
  </r>
  <r>
    <x v="1"/>
    <x v="0"/>
    <x v="2"/>
    <b v="0"/>
    <x v="1"/>
    <x v="1"/>
    <x v="4"/>
    <n v="119"/>
    <n v="0.2913"/>
    <n v="0.91539999999999999"/>
    <n v="1.9677"/>
    <n v="0.55300000000000005"/>
  </r>
  <r>
    <x v="1"/>
    <x v="0"/>
    <x v="2"/>
    <b v="0"/>
    <x v="1"/>
    <x v="1"/>
    <x v="1"/>
    <n v="119"/>
    <n v="0.25090000000000001"/>
    <n v="0.92769999999999997"/>
    <n v="2.0655000000000001"/>
    <n v="0.52549999999999997"/>
  </r>
  <r>
    <x v="1"/>
    <x v="0"/>
    <x v="2"/>
    <b v="0"/>
    <x v="1"/>
    <x v="0"/>
    <x v="5"/>
    <n v="120"/>
    <n v="1.1919"/>
    <n v="0.64219999999999999"/>
    <n v="1.6545000000000001"/>
    <n v="0.55000000000000004"/>
  </r>
  <r>
    <x v="1"/>
    <x v="0"/>
    <x v="2"/>
    <b v="0"/>
    <x v="1"/>
    <x v="0"/>
    <x v="2"/>
    <n v="120"/>
    <n v="1.1079000000000001"/>
    <n v="0.66959999999999997"/>
    <n v="1.6716"/>
    <n v="0.54900000000000004"/>
  </r>
  <r>
    <x v="1"/>
    <x v="0"/>
    <x v="2"/>
    <b v="0"/>
    <x v="1"/>
    <x v="0"/>
    <x v="0"/>
    <n v="120"/>
    <n v="1.0327"/>
    <n v="0.68710000000000004"/>
    <n v="1.6281000000000001"/>
    <n v="0.55900000000000005"/>
  </r>
  <r>
    <x v="1"/>
    <x v="0"/>
    <x v="2"/>
    <b v="0"/>
    <x v="1"/>
    <x v="0"/>
    <x v="3"/>
    <n v="120"/>
    <n v="0.98160000000000003"/>
    <n v="0.70150000000000001"/>
    <n v="1.5972999999999999"/>
    <n v="0.57350000000000001"/>
  </r>
  <r>
    <x v="1"/>
    <x v="0"/>
    <x v="2"/>
    <b v="0"/>
    <x v="1"/>
    <x v="0"/>
    <x v="4"/>
    <n v="120"/>
    <n v="0.92490000000000006"/>
    <n v="0.72360000000000002"/>
    <n v="1.6735"/>
    <n v="0.55200000000000005"/>
  </r>
  <r>
    <x v="1"/>
    <x v="0"/>
    <x v="2"/>
    <b v="0"/>
    <x v="1"/>
    <x v="0"/>
    <x v="1"/>
    <n v="120"/>
    <n v="0.86160000000000003"/>
    <n v="0.74039999999999995"/>
    <n v="1.6245000000000001"/>
    <n v="0.5669999999999999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16">
  <r>
    <s v="GRU"/>
    <x v="0"/>
    <x v="0"/>
    <b v="0"/>
    <s v="OFF"/>
    <s v="adam"/>
    <x v="0"/>
    <n v="30"/>
    <n v="0.26069999999999999"/>
    <n v="0.92689999999999995"/>
    <n v="2.1814"/>
    <n v="0.52600000000000002"/>
  </r>
  <r>
    <s v="GRU"/>
    <x v="0"/>
    <x v="0"/>
    <b v="0"/>
    <s v="OFF"/>
    <s v="adam"/>
    <x v="1"/>
    <n v="30"/>
    <n v="0.22639999999999999"/>
    <n v="0.93589999999999995"/>
    <n v="2.4148000000000001"/>
    <n v="0.50949999999999995"/>
  </r>
  <r>
    <s v="GRU"/>
    <x v="0"/>
    <x v="0"/>
    <b v="0"/>
    <s v="OFF"/>
    <s v="adam"/>
    <x v="2"/>
    <n v="30"/>
    <n v="0.19939999999999999"/>
    <n v="0.94569999999999999"/>
    <n v="2.3062999999999998"/>
    <n v="0.52900000000000003"/>
  </r>
  <r>
    <s v="GRU"/>
    <x v="0"/>
    <x v="0"/>
    <b v="0"/>
    <s v="OFF"/>
    <s v="adam"/>
    <x v="3"/>
    <n v="30"/>
    <n v="0.1701"/>
    <n v="0.95240000000000002"/>
    <n v="2.3706999999999998"/>
    <n v="0.50949999999999995"/>
  </r>
  <r>
    <s v="GRU"/>
    <x v="0"/>
    <x v="0"/>
    <b v="0"/>
    <s v="OFF"/>
    <s v="adam"/>
    <x v="4"/>
    <n v="30"/>
    <n v="0.1618"/>
    <n v="0.95440000000000003"/>
    <n v="2.3856999999999999"/>
    <n v="0.51400000000000001"/>
  </r>
  <r>
    <s v="GRU"/>
    <x v="0"/>
    <x v="0"/>
    <b v="0"/>
    <s v="OFF"/>
    <s v="adam"/>
    <x v="5"/>
    <n v="30"/>
    <n v="0.14480000000000001"/>
    <n v="0.96099999999999997"/>
    <n v="2.42"/>
    <n v="0.50949999999999995"/>
  </r>
  <r>
    <s v="GRU"/>
    <x v="0"/>
    <x v="0"/>
    <b v="0"/>
    <s v="OFF"/>
    <s v="rmsprop"/>
    <x v="0"/>
    <n v="30"/>
    <n v="0.88400000000000001"/>
    <n v="0.74060000000000004"/>
    <n v="1.7849999999999999"/>
    <n v="0.52849999999999997"/>
  </r>
  <r>
    <s v="GRU"/>
    <x v="0"/>
    <x v="0"/>
    <b v="0"/>
    <s v="OFF"/>
    <s v="rmsprop"/>
    <x v="1"/>
    <n v="30"/>
    <n v="0.80159999999999998"/>
    <n v="0.76490000000000002"/>
    <n v="1.8711"/>
    <n v="0.52949999999999997"/>
  </r>
  <r>
    <s v="GRU"/>
    <x v="0"/>
    <x v="0"/>
    <b v="0"/>
    <s v="OFF"/>
    <s v="rmsprop"/>
    <x v="2"/>
    <n v="30"/>
    <n v="0.7248"/>
    <n v="0.79200000000000004"/>
    <n v="1.9414"/>
    <n v="0.52549999999999997"/>
  </r>
  <r>
    <s v="GRU"/>
    <x v="0"/>
    <x v="0"/>
    <b v="0"/>
    <s v="OFF"/>
    <s v="rmsprop"/>
    <x v="3"/>
    <n v="32"/>
    <n v="0.65300000000000002"/>
    <n v="0.80630000000000002"/>
    <n v="1.9233"/>
    <n v="0.52049999999999996"/>
  </r>
  <r>
    <s v="GRU"/>
    <x v="0"/>
    <x v="0"/>
    <b v="0"/>
    <s v="OFF"/>
    <s v="rmsprop"/>
    <x v="4"/>
    <n v="30"/>
    <n v="0.60240000000000005"/>
    <n v="0.8286"/>
    <n v="1.9387000000000001"/>
    <n v="0.52600000000000002"/>
  </r>
  <r>
    <s v="GRU"/>
    <x v="0"/>
    <x v="0"/>
    <b v="0"/>
    <s v="OFF"/>
    <s v="rmsprop"/>
    <x v="5"/>
    <n v="30"/>
    <n v="0.54820000000000002"/>
    <n v="0.83640000000000003"/>
    <n v="2.0055999999999998"/>
    <n v="0.52900000000000003"/>
  </r>
  <r>
    <s v="GRU"/>
    <x v="0"/>
    <x v="0"/>
    <b v="0"/>
    <s v="ON"/>
    <s v="adam"/>
    <x v="0"/>
    <n v="37"/>
    <n v="0.33350000000000002"/>
    <n v="0.90849999999999997"/>
    <n v="2.1854"/>
    <n v="0.50749999999999995"/>
  </r>
  <r>
    <s v="GRU"/>
    <x v="0"/>
    <x v="0"/>
    <b v="0"/>
    <s v="ON"/>
    <s v="adam"/>
    <x v="1"/>
    <n v="37"/>
    <n v="0.29220000000000002"/>
    <n v="0.91679999999999995"/>
    <n v="2.2437999999999998"/>
    <n v="0.50600000000000001"/>
  </r>
  <r>
    <s v="GRU"/>
    <x v="0"/>
    <x v="0"/>
    <b v="0"/>
    <s v="ON"/>
    <s v="adam"/>
    <x v="2"/>
    <n v="36"/>
    <n v="0.25619999999999998"/>
    <n v="0.9284"/>
    <n v="2.2572999999999999"/>
    <n v="0.51449999999999996"/>
  </r>
  <r>
    <s v="GRU"/>
    <x v="0"/>
    <x v="0"/>
    <b v="0"/>
    <s v="ON"/>
    <s v="adam"/>
    <x v="3"/>
    <n v="33"/>
    <n v="0.2281"/>
    <n v="0.93769999999999998"/>
    <n v="2.3027000000000002"/>
    <n v="0.51100000000000001"/>
  </r>
  <r>
    <s v="GRU"/>
    <x v="0"/>
    <x v="0"/>
    <b v="0"/>
    <s v="ON"/>
    <s v="adam"/>
    <x v="4"/>
    <n v="32"/>
    <n v="0.22309999999999999"/>
    <n v="0.93740000000000001"/>
    <n v="2.3147000000000002"/>
    <n v="0.51200000000000001"/>
  </r>
  <r>
    <s v="GRU"/>
    <x v="0"/>
    <x v="0"/>
    <b v="0"/>
    <s v="ON"/>
    <s v="adam"/>
    <x v="5"/>
    <n v="32"/>
    <n v="0.20749999999999999"/>
    <n v="0.94369999999999998"/>
    <n v="2.3719000000000001"/>
    <n v="0.499"/>
  </r>
  <r>
    <s v="GRU"/>
    <x v="0"/>
    <x v="0"/>
    <b v="0"/>
    <s v="ON"/>
    <s v="rmsprop"/>
    <x v="0"/>
    <n v="34"/>
    <n v="1.1332"/>
    <n v="0.6714"/>
    <n v="1.7000999999999999"/>
    <n v="0.54200000000000004"/>
  </r>
  <r>
    <s v="GRU"/>
    <x v="0"/>
    <x v="0"/>
    <b v="0"/>
    <s v="ON"/>
    <s v="rmsprop"/>
    <x v="1"/>
    <n v="33"/>
    <n v="1.0364"/>
    <n v="0.69610000000000005"/>
    <n v="1.7364999999999999"/>
    <n v="0.53049999999999997"/>
  </r>
  <r>
    <s v="GRU"/>
    <x v="0"/>
    <x v="0"/>
    <b v="0"/>
    <s v="ON"/>
    <s v="rmsprop"/>
    <x v="2"/>
    <n v="33"/>
    <n v="0.9677"/>
    <n v="0.71609999999999996"/>
    <n v="1.7269000000000001"/>
    <n v="0.53749999999999998"/>
  </r>
  <r>
    <s v="GRU"/>
    <x v="0"/>
    <x v="0"/>
    <b v="0"/>
    <s v="ON"/>
    <s v="rmsprop"/>
    <x v="3"/>
    <n v="33"/>
    <n v="0.88149999999999995"/>
    <n v="0.73950000000000005"/>
    <n v="1.6837"/>
    <n v="0.55400000000000005"/>
  </r>
  <r>
    <s v="GRU"/>
    <x v="0"/>
    <x v="0"/>
    <b v="0"/>
    <s v="ON"/>
    <s v="rmsprop"/>
    <x v="4"/>
    <n v="33"/>
    <n v="0.81630000000000003"/>
    <n v="0.76370000000000005"/>
    <n v="1.7"/>
    <n v="0.55300000000000005"/>
  </r>
  <r>
    <s v="GRU"/>
    <x v="0"/>
    <x v="0"/>
    <b v="0"/>
    <s v="ON"/>
    <s v="rmsprop"/>
    <x v="5"/>
    <n v="33"/>
    <n v="0.7429"/>
    <n v="0.78939999999999999"/>
    <n v="1.7182999999999999"/>
    <n v="0.55400000000000005"/>
  </r>
  <r>
    <s v="GRU"/>
    <x v="0"/>
    <x v="1"/>
    <b v="0"/>
    <s v="OFF"/>
    <s v="adam"/>
    <x v="0"/>
    <n v="57"/>
    <n v="0.24229999999999999"/>
    <n v="0.92989999999999995"/>
    <n v="2.2473999999999998"/>
    <n v="0.50900000000000001"/>
  </r>
  <r>
    <s v="GRU"/>
    <x v="0"/>
    <x v="1"/>
    <b v="0"/>
    <s v="OFF"/>
    <s v="adam"/>
    <x v="1"/>
    <n v="64"/>
    <n v="0.2157"/>
    <n v="0.93759999999999999"/>
    <n v="2.2966000000000002"/>
    <n v="0.52349999999999997"/>
  </r>
  <r>
    <s v="GRU"/>
    <x v="0"/>
    <x v="1"/>
    <b v="0"/>
    <s v="OFF"/>
    <s v="adam"/>
    <x v="2"/>
    <n v="63"/>
    <n v="0.1908"/>
    <n v="0.94410000000000005"/>
    <n v="2.4049999999999998"/>
    <n v="0.4945"/>
  </r>
  <r>
    <s v="GRU"/>
    <x v="0"/>
    <x v="1"/>
    <b v="0"/>
    <s v="OFF"/>
    <s v="adam"/>
    <x v="3"/>
    <n v="64"/>
    <n v="0.16250000000000001"/>
    <n v="0.95430000000000004"/>
    <n v="2.3170999999999999"/>
    <n v="0.51600000000000001"/>
  </r>
  <r>
    <s v="GRU"/>
    <x v="0"/>
    <x v="1"/>
    <b v="0"/>
    <s v="OFF"/>
    <s v="adam"/>
    <x v="4"/>
    <n v="63"/>
    <n v="0.15049999999999999"/>
    <n v="0.95540000000000003"/>
    <n v="2.3990999999999998"/>
    <n v="0.50349999999999995"/>
  </r>
  <r>
    <s v="GRU"/>
    <x v="0"/>
    <x v="1"/>
    <b v="0"/>
    <s v="OFF"/>
    <s v="adam"/>
    <x v="5"/>
    <n v="64"/>
    <n v="0.13669999999999999"/>
    <n v="0.95899999999999996"/>
    <n v="2.4036"/>
    <n v="0.51449999999999996"/>
  </r>
  <r>
    <s v="GRU"/>
    <x v="0"/>
    <x v="1"/>
    <b v="0"/>
    <s v="OFF"/>
    <s v="rmsprop"/>
    <x v="0"/>
    <n v="57"/>
    <n v="0.76290000000000002"/>
    <n v="0.76970000000000005"/>
    <n v="1.7017"/>
    <n v="0.55300000000000005"/>
  </r>
  <r>
    <s v="GRU"/>
    <x v="0"/>
    <x v="1"/>
    <b v="0"/>
    <s v="OFF"/>
    <s v="rmsprop"/>
    <x v="1"/>
    <n v="57"/>
    <n v="0.68400000000000005"/>
    <n v="0.79849999999999999"/>
    <n v="2.0958000000000001"/>
    <n v="0.496"/>
  </r>
  <r>
    <s v="GRU"/>
    <x v="0"/>
    <x v="1"/>
    <b v="0"/>
    <s v="OFF"/>
    <s v="rmsprop"/>
    <x v="2"/>
    <n v="57"/>
    <n v="0.60799999999999998"/>
    <n v="0.81910000000000005"/>
    <n v="1.8767"/>
    <n v="0.54149999999999998"/>
  </r>
  <r>
    <s v="GRU"/>
    <x v="0"/>
    <x v="1"/>
    <b v="0"/>
    <s v="OFF"/>
    <s v="rmsprop"/>
    <x v="3"/>
    <n v="58"/>
    <n v="0.54379999999999995"/>
    <n v="0.84"/>
    <n v="1.9176"/>
    <n v="0.51700000000000002"/>
  </r>
  <r>
    <s v="GRU"/>
    <x v="0"/>
    <x v="1"/>
    <b v="0"/>
    <s v="OFF"/>
    <s v="rmsprop"/>
    <x v="4"/>
    <n v="58"/>
    <n v="0.4864"/>
    <n v="0.8569"/>
    <n v="1.9327000000000001"/>
    <n v="0.52249999999999996"/>
  </r>
  <r>
    <s v="GRU"/>
    <x v="0"/>
    <x v="1"/>
    <b v="0"/>
    <s v="OFF"/>
    <s v="rmsprop"/>
    <x v="5"/>
    <n v="58"/>
    <n v="0.44590000000000002"/>
    <n v="0.871"/>
    <n v="1.9512"/>
    <n v="0.54"/>
  </r>
  <r>
    <s v="GRU"/>
    <x v="0"/>
    <x v="1"/>
    <b v="0"/>
    <s v="ON"/>
    <s v="adam"/>
    <x v="0"/>
    <n v="62"/>
    <n v="0.29959999999999998"/>
    <n v="0.91459999999999997"/>
    <n v="1.9540999999999999"/>
    <n v="0.55100000000000005"/>
  </r>
  <r>
    <s v="GRU"/>
    <x v="0"/>
    <x v="1"/>
    <b v="0"/>
    <s v="ON"/>
    <s v="adam"/>
    <x v="1"/>
    <n v="61"/>
    <n v="0.25600000000000001"/>
    <n v="0.9254"/>
    <n v="2.0537000000000001"/>
    <n v="0.54200000000000004"/>
  </r>
  <r>
    <s v="GRU"/>
    <x v="0"/>
    <x v="1"/>
    <b v="0"/>
    <s v="ON"/>
    <s v="adam"/>
    <x v="2"/>
    <n v="60"/>
    <n v="0.2001"/>
    <n v="0.94299999999999995"/>
    <n v="2.1404000000000001"/>
    <n v="0.54100000000000004"/>
  </r>
  <r>
    <s v="GRU"/>
    <x v="0"/>
    <x v="1"/>
    <b v="0"/>
    <s v="ON"/>
    <s v="adam"/>
    <x v="3"/>
    <n v="60"/>
    <n v="0.1986"/>
    <n v="0.94130000000000003"/>
    <n v="2.1442000000000001"/>
    <n v="0.52900000000000003"/>
  </r>
  <r>
    <s v="GRU"/>
    <x v="0"/>
    <x v="1"/>
    <b v="0"/>
    <s v="ON"/>
    <s v="adam"/>
    <x v="4"/>
    <n v="61"/>
    <n v="0.18459999999999999"/>
    <n v="0.94940000000000002"/>
    <n v="2.198"/>
    <n v="0.53"/>
  </r>
  <r>
    <s v="GRU"/>
    <x v="0"/>
    <x v="1"/>
    <b v="0"/>
    <s v="ON"/>
    <s v="adam"/>
    <x v="5"/>
    <n v="61"/>
    <n v="0.15770000000000001"/>
    <n v="0.95599999999999996"/>
    <n v="2.2534999999999998"/>
    <n v="0.53600000000000003"/>
  </r>
  <r>
    <s v="GRU"/>
    <x v="0"/>
    <x v="1"/>
    <b v="0"/>
    <s v="ON"/>
    <s v="rmsprop"/>
    <x v="0"/>
    <n v="56"/>
    <n v="1.0094000000000001"/>
    <n v="0.69910000000000005"/>
    <n v="1.6055999999999999"/>
    <n v="0.55149999999999999"/>
  </r>
  <r>
    <s v="GRU"/>
    <x v="0"/>
    <x v="1"/>
    <b v="0"/>
    <s v="ON"/>
    <s v="rmsprop"/>
    <x v="1"/>
    <n v="56"/>
    <n v="0.92720000000000002"/>
    <n v="0.72689999999999999"/>
    <n v="1.6867000000000001"/>
    <n v="0.54549999999999998"/>
  </r>
  <r>
    <s v="GRU"/>
    <x v="0"/>
    <x v="1"/>
    <b v="0"/>
    <s v="ON"/>
    <s v="rmsprop"/>
    <x v="2"/>
    <n v="56"/>
    <n v="0.84660000000000002"/>
    <n v="0.75160000000000005"/>
    <n v="1.6528"/>
    <n v="0.55600000000000005"/>
  </r>
  <r>
    <s v="GRU"/>
    <x v="0"/>
    <x v="1"/>
    <b v="0"/>
    <s v="ON"/>
    <s v="rmsprop"/>
    <x v="3"/>
    <n v="57"/>
    <n v="0.77759999999999996"/>
    <n v="0.76659999999999995"/>
    <n v="1.6868000000000001"/>
    <n v="0.55349999999999999"/>
  </r>
  <r>
    <s v="GRU"/>
    <x v="0"/>
    <x v="1"/>
    <b v="0"/>
    <s v="ON"/>
    <s v="rmsprop"/>
    <x v="4"/>
    <n v="56"/>
    <n v="0.72"/>
    <n v="0.79100000000000004"/>
    <n v="1.7188000000000001"/>
    <n v="0.54749999999999999"/>
  </r>
  <r>
    <s v="GRU"/>
    <x v="0"/>
    <x v="1"/>
    <b v="0"/>
    <s v="ON"/>
    <s v="rmsprop"/>
    <x v="5"/>
    <n v="56"/>
    <n v="0.67620000000000002"/>
    <n v="0.80330000000000001"/>
    <n v="1.742"/>
    <n v="0.55300000000000005"/>
  </r>
  <r>
    <s v="GRU"/>
    <x v="0"/>
    <x v="2"/>
    <b v="0"/>
    <s v="OFF"/>
    <s v="adam"/>
    <x v="0"/>
    <n v="117"/>
    <n v="0.23910000000000001"/>
    <n v="0.93089999999999995"/>
    <n v="2.0981000000000001"/>
    <n v="0.51849999999999996"/>
  </r>
  <r>
    <s v="GRU"/>
    <x v="0"/>
    <x v="2"/>
    <b v="0"/>
    <s v="OFF"/>
    <s v="adam"/>
    <x v="1"/>
    <n v="116"/>
    <n v="0.18840000000000001"/>
    <n v="0.94330000000000003"/>
    <n v="2.2235999999999998"/>
    <n v="0.52200000000000002"/>
  </r>
  <r>
    <s v="GRU"/>
    <x v="0"/>
    <x v="2"/>
    <b v="0"/>
    <s v="OFF"/>
    <s v="adam"/>
    <x v="2"/>
    <n v="117"/>
    <n v="0.18160000000000001"/>
    <n v="0.94569999999999999"/>
    <n v="2.1534"/>
    <n v="0.52349999999999997"/>
  </r>
  <r>
    <s v="GRU"/>
    <x v="0"/>
    <x v="2"/>
    <b v="0"/>
    <s v="OFF"/>
    <s v="adam"/>
    <x v="3"/>
    <n v="116"/>
    <n v="0.1731"/>
    <n v="0.9496"/>
    <n v="2.1913"/>
    <n v="0.53149999999999997"/>
  </r>
  <r>
    <s v="GRU"/>
    <x v="0"/>
    <x v="2"/>
    <b v="0"/>
    <s v="OFF"/>
    <s v="adam"/>
    <x v="4"/>
    <n v="118"/>
    <n v="0.13469999999999999"/>
    <n v="0.95960000000000001"/>
    <n v="2.2364000000000002"/>
    <n v="0.52849999999999997"/>
  </r>
  <r>
    <s v="GRU"/>
    <x v="0"/>
    <x v="2"/>
    <b v="0"/>
    <s v="OFF"/>
    <s v="adam"/>
    <x v="5"/>
    <n v="117"/>
    <n v="0.13550000000000001"/>
    <n v="0.96130000000000004"/>
    <n v="2.3530000000000002"/>
    <n v="0.51149999999999995"/>
  </r>
  <r>
    <s v="GRU"/>
    <x v="0"/>
    <x v="2"/>
    <b v="0"/>
    <s v="OFF"/>
    <s v="rmsprop"/>
    <x v="0"/>
    <n v="118"/>
    <n v="0.74850000000000005"/>
    <n v="0.77480000000000004"/>
    <n v="1.8027"/>
    <n v="0.54300000000000004"/>
  </r>
  <r>
    <s v="GRU"/>
    <x v="0"/>
    <x v="2"/>
    <b v="0"/>
    <s v="OFF"/>
    <s v="rmsprop"/>
    <x v="1"/>
    <n v="119"/>
    <n v="0.67530000000000001"/>
    <n v="0.79910000000000003"/>
    <n v="1.8344"/>
    <n v="0.53300000000000003"/>
  </r>
  <r>
    <s v="GRU"/>
    <x v="0"/>
    <x v="2"/>
    <b v="0"/>
    <s v="OFF"/>
    <s v="rmsprop"/>
    <x v="2"/>
    <n v="120"/>
    <n v="0.61050000000000004"/>
    <n v="0.81730000000000003"/>
    <n v="1.8482000000000001"/>
    <n v="0.51949999999999996"/>
  </r>
  <r>
    <s v="GRU"/>
    <x v="0"/>
    <x v="2"/>
    <b v="0"/>
    <s v="OFF"/>
    <s v="rmsprop"/>
    <x v="3"/>
    <n v="117"/>
    <n v="0.53100000000000003"/>
    <n v="0.83850000000000002"/>
    <n v="1.8963000000000001"/>
    <n v="0.51549999999999996"/>
  </r>
  <r>
    <s v="GRU"/>
    <x v="0"/>
    <x v="2"/>
    <b v="0"/>
    <s v="OFF"/>
    <s v="rmsprop"/>
    <x v="4"/>
    <n v="120"/>
    <n v="0.48820000000000002"/>
    <n v="0.84960000000000002"/>
    <n v="1.9028"/>
    <n v="0.53"/>
  </r>
  <r>
    <s v="GRU"/>
    <x v="0"/>
    <x v="2"/>
    <b v="0"/>
    <s v="OFF"/>
    <s v="rmsprop"/>
    <x v="5"/>
    <n v="117"/>
    <n v="0.43869999999999998"/>
    <n v="0.87170000000000003"/>
    <n v="1.8755999999999999"/>
    <n v="0.54749999999999999"/>
  </r>
  <r>
    <s v="GRU"/>
    <x v="0"/>
    <x v="2"/>
    <b v="0"/>
    <s v="ON"/>
    <s v="adam"/>
    <x v="0"/>
    <n v="116"/>
    <n v="0.26860000000000001"/>
    <n v="0.91930000000000001"/>
    <n v="2.0640000000000001"/>
    <n v="0.53200000000000003"/>
  </r>
  <r>
    <s v="GRU"/>
    <x v="0"/>
    <x v="2"/>
    <b v="0"/>
    <s v="ON"/>
    <s v="adam"/>
    <x v="1"/>
    <n v="116"/>
    <n v="0.23089999999999999"/>
    <n v="0.93269999999999997"/>
    <n v="2.1202999999999999"/>
    <n v="0.52700000000000002"/>
  </r>
  <r>
    <s v="GRU"/>
    <x v="0"/>
    <x v="2"/>
    <b v="0"/>
    <s v="ON"/>
    <s v="adam"/>
    <x v="2"/>
    <n v="116"/>
    <n v="0.193"/>
    <n v="0.94340000000000002"/>
    <n v="2.1554000000000002"/>
    <n v="0.51949999999999996"/>
  </r>
  <r>
    <s v="GRU"/>
    <x v="0"/>
    <x v="2"/>
    <b v="0"/>
    <s v="ON"/>
    <s v="adam"/>
    <x v="3"/>
    <n v="116"/>
    <n v="0.17380000000000001"/>
    <n v="0.94779999999999998"/>
    <n v="2.1892999999999998"/>
    <n v="0.52400000000000002"/>
  </r>
  <r>
    <s v="GRU"/>
    <x v="0"/>
    <x v="2"/>
    <b v="0"/>
    <s v="ON"/>
    <s v="adam"/>
    <x v="4"/>
    <n v="116"/>
    <n v="0.1578"/>
    <n v="0.95269999999999999"/>
    <n v="2.2206000000000001"/>
    <n v="0.51849999999999996"/>
  </r>
  <r>
    <s v="GRU"/>
    <x v="0"/>
    <x v="2"/>
    <b v="0"/>
    <s v="ON"/>
    <s v="adam"/>
    <x v="5"/>
    <n v="116"/>
    <n v="0.14480000000000001"/>
    <n v="0.9556"/>
    <n v="2.3123"/>
    <n v="0.52500000000000002"/>
  </r>
  <r>
    <s v="GRU"/>
    <x v="0"/>
    <x v="2"/>
    <b v="0"/>
    <s v="ON"/>
    <s v="rmsprop"/>
    <x v="0"/>
    <n v="129"/>
    <n v="0.9204"/>
    <n v="0.72640000000000005"/>
    <n v="1.7137"/>
    <n v="0.55149999999999999"/>
  </r>
  <r>
    <s v="GRU"/>
    <x v="0"/>
    <x v="2"/>
    <b v="0"/>
    <s v="ON"/>
    <s v="rmsprop"/>
    <x v="1"/>
    <n v="165"/>
    <n v="0.8286"/>
    <n v="0.75260000000000005"/>
    <n v="1.6798"/>
    <n v="0.54849999999999999"/>
  </r>
  <r>
    <s v="GRU"/>
    <x v="0"/>
    <x v="2"/>
    <b v="0"/>
    <s v="ON"/>
    <s v="rmsprop"/>
    <x v="2"/>
    <n v="146"/>
    <n v="0.75190000000000001"/>
    <n v="0.78390000000000004"/>
    <n v="1.7270000000000001"/>
    <n v="0.54600000000000004"/>
  </r>
  <r>
    <s v="GRU"/>
    <x v="0"/>
    <x v="2"/>
    <b v="0"/>
    <s v="ON"/>
    <s v="rmsprop"/>
    <x v="3"/>
    <n v="127"/>
    <n v="0.68810000000000004"/>
    <n v="0.79600000000000004"/>
    <n v="1.7422"/>
    <n v="0.54949999999999999"/>
  </r>
  <r>
    <s v="GRU"/>
    <x v="0"/>
    <x v="2"/>
    <b v="0"/>
    <s v="ON"/>
    <s v="rmsprop"/>
    <x v="4"/>
    <n v="134"/>
    <n v="0.61909999999999998"/>
    <n v="0.81740000000000002"/>
    <n v="1.7210000000000001"/>
    <n v="0.5605"/>
  </r>
  <r>
    <s v="GRU"/>
    <x v="0"/>
    <x v="2"/>
    <b v="0"/>
    <s v="ON"/>
    <s v="rmsprop"/>
    <x v="5"/>
    <n v="122"/>
    <n v="0.57799999999999996"/>
    <n v="0.82909999999999995"/>
    <n v="1.8250999999999999"/>
    <n v="0.54800000000000004"/>
  </r>
  <r>
    <s v="GRU"/>
    <x v="1"/>
    <x v="0"/>
    <b v="0"/>
    <s v="OFF"/>
    <s v="adam"/>
    <x v="0"/>
    <n v="35"/>
    <n v="0.38450000000000001"/>
    <n v="0.89180000000000004"/>
    <n v="2.1171000000000002"/>
    <n v="0.51500000000000001"/>
  </r>
  <r>
    <s v="GRU"/>
    <x v="1"/>
    <x v="0"/>
    <b v="0"/>
    <s v="OFF"/>
    <s v="adam"/>
    <x v="1"/>
    <n v="34"/>
    <n v="0.33500000000000002"/>
    <n v="0.90249999999999997"/>
    <n v="2.2667000000000002"/>
    <n v="0.4995"/>
  </r>
  <r>
    <s v="GRU"/>
    <x v="1"/>
    <x v="0"/>
    <b v="0"/>
    <s v="OFF"/>
    <s v="adam"/>
    <x v="2"/>
    <n v="34"/>
    <n v="0.29139999999999999"/>
    <n v="0.91490000000000005"/>
    <n v="2.2854999999999999"/>
    <n v="0.50900000000000001"/>
  </r>
  <r>
    <s v="GRU"/>
    <x v="1"/>
    <x v="0"/>
    <b v="0"/>
    <s v="OFF"/>
    <s v="adam"/>
    <x v="3"/>
    <n v="35"/>
    <n v="0.25119999999999998"/>
    <n v="0.9284"/>
    <n v="2.3551000000000002"/>
    <n v="0.50949999999999995"/>
  </r>
  <r>
    <s v="GRU"/>
    <x v="1"/>
    <x v="0"/>
    <b v="0"/>
    <s v="OFF"/>
    <s v="adam"/>
    <x v="4"/>
    <n v="34"/>
    <n v="0.23319999999999999"/>
    <n v="0.93300000000000005"/>
    <n v="2.4268999999999998"/>
    <n v="0.49199999999999999"/>
  </r>
  <r>
    <s v="GRU"/>
    <x v="1"/>
    <x v="0"/>
    <b v="0"/>
    <s v="OFF"/>
    <s v="adam"/>
    <x v="5"/>
    <n v="36"/>
    <n v="0.22189999999999999"/>
    <n v="0.93859999999999999"/>
    <n v="2.3974000000000002"/>
    <n v="0.503"/>
  </r>
  <r>
    <s v="GRU"/>
    <x v="1"/>
    <x v="0"/>
    <b v="0"/>
    <s v="OFF"/>
    <s v="rmsprop"/>
    <x v="0"/>
    <n v="34"/>
    <n v="1.0279"/>
    <n v="0.69399999999999995"/>
    <n v="1.8152999999999999"/>
    <n v="0.51249999999999996"/>
  </r>
  <r>
    <s v="GRU"/>
    <x v="1"/>
    <x v="0"/>
    <b v="0"/>
    <s v="OFF"/>
    <s v="rmsprop"/>
    <x v="1"/>
    <n v="35"/>
    <n v="0.96550000000000002"/>
    <n v="0.70899999999999996"/>
    <n v="1.8015000000000001"/>
    <n v="0.52149999999999996"/>
  </r>
  <r>
    <s v="GRU"/>
    <x v="1"/>
    <x v="0"/>
    <b v="0"/>
    <s v="OFF"/>
    <s v="rmsprop"/>
    <x v="2"/>
    <n v="35"/>
    <n v="0.87649999999999995"/>
    <n v="0.73919999999999997"/>
    <n v="1.8580000000000001"/>
    <n v="0.52349999999999997"/>
  </r>
  <r>
    <s v="GRU"/>
    <x v="1"/>
    <x v="0"/>
    <b v="0"/>
    <s v="OFF"/>
    <s v="rmsprop"/>
    <x v="3"/>
    <n v="34"/>
    <n v="0.82520000000000004"/>
    <n v="0.75619999999999998"/>
    <n v="1.8506"/>
    <n v="0.53249999999999997"/>
  </r>
  <r>
    <s v="GRU"/>
    <x v="1"/>
    <x v="0"/>
    <b v="0"/>
    <s v="OFF"/>
    <s v="rmsprop"/>
    <x v="4"/>
    <n v="34"/>
    <n v="0.76"/>
    <n v="0.77290000000000003"/>
    <n v="1.8594999999999999"/>
    <n v="0.53149999999999997"/>
  </r>
  <r>
    <s v="GRU"/>
    <x v="1"/>
    <x v="0"/>
    <b v="0"/>
    <s v="OFF"/>
    <s v="rmsprop"/>
    <x v="5"/>
    <n v="35"/>
    <n v="0.70730000000000004"/>
    <n v="0.78839999999999999"/>
    <n v="1.8136000000000001"/>
    <n v="0.54400000000000004"/>
  </r>
  <r>
    <s v="GRU"/>
    <x v="1"/>
    <x v="0"/>
    <b v="0"/>
    <s v="ON"/>
    <s v="adam"/>
    <x v="0"/>
    <n v="36"/>
    <n v="0.43580000000000002"/>
    <n v="0.88080000000000003"/>
    <n v="1.9365000000000001"/>
    <n v="0.52500000000000002"/>
  </r>
  <r>
    <s v="GRU"/>
    <x v="1"/>
    <x v="0"/>
    <b v="0"/>
    <s v="ON"/>
    <s v="adam"/>
    <x v="1"/>
    <n v="35"/>
    <n v="0.36449999999999999"/>
    <n v="0.89900000000000002"/>
    <n v="2.0186999999999999"/>
    <n v="0.52"/>
  </r>
  <r>
    <s v="GRU"/>
    <x v="1"/>
    <x v="0"/>
    <b v="0"/>
    <s v="ON"/>
    <s v="adam"/>
    <x v="2"/>
    <n v="36"/>
    <n v="0.31680000000000003"/>
    <n v="0.9143"/>
    <n v="2.0871"/>
    <n v="0.52200000000000002"/>
  </r>
  <r>
    <s v="GRU"/>
    <x v="1"/>
    <x v="0"/>
    <b v="0"/>
    <s v="ON"/>
    <s v="adam"/>
    <x v="3"/>
    <n v="36"/>
    <n v="0.2903"/>
    <n v="0.92210000000000003"/>
    <n v="2.1440999999999999"/>
    <n v="0.52449999999999997"/>
  </r>
  <r>
    <s v="GRU"/>
    <x v="1"/>
    <x v="0"/>
    <b v="0"/>
    <s v="ON"/>
    <s v="adam"/>
    <x v="4"/>
    <n v="39"/>
    <n v="0.25690000000000002"/>
    <n v="0.93030000000000002"/>
    <n v="2.2242000000000002"/>
    <n v="0.51100000000000001"/>
  </r>
  <r>
    <s v="GRU"/>
    <x v="1"/>
    <x v="0"/>
    <b v="0"/>
    <s v="ON"/>
    <s v="adam"/>
    <x v="5"/>
    <n v="34"/>
    <n v="0.22209999999999999"/>
    <n v="0.93910000000000005"/>
    <n v="2.3071000000000002"/>
    <n v="0.50949999999999995"/>
  </r>
  <r>
    <s v="GRU"/>
    <x v="1"/>
    <x v="0"/>
    <b v="0"/>
    <s v="ON"/>
    <s v="rmsprop"/>
    <x v="0"/>
    <n v="37"/>
    <n v="1.2625999999999999"/>
    <n v="0.62790000000000001"/>
    <n v="1.724"/>
    <n v="0.54049999999999998"/>
  </r>
  <r>
    <s v="GRU"/>
    <x v="1"/>
    <x v="0"/>
    <b v="0"/>
    <s v="ON"/>
    <s v="rmsprop"/>
    <x v="1"/>
    <n v="33"/>
    <n v="1.1728000000000001"/>
    <n v="0.65049999999999997"/>
    <n v="1.6947000000000001"/>
    <n v="0.54849999999999999"/>
  </r>
  <r>
    <s v="GRU"/>
    <x v="1"/>
    <x v="0"/>
    <b v="0"/>
    <s v="ON"/>
    <s v="rmsprop"/>
    <x v="2"/>
    <n v="33"/>
    <n v="1.0881000000000001"/>
    <n v="0.68049999999999999"/>
    <n v="1.6950000000000001"/>
    <n v="0.55349999999999999"/>
  </r>
  <r>
    <s v="GRU"/>
    <x v="1"/>
    <x v="0"/>
    <b v="0"/>
    <s v="ON"/>
    <s v="rmsprop"/>
    <x v="3"/>
    <n v="36"/>
    <n v="1.0071000000000001"/>
    <n v="0.69950000000000001"/>
    <n v="1.7031000000000001"/>
    <n v="0.56100000000000005"/>
  </r>
  <r>
    <s v="GRU"/>
    <x v="1"/>
    <x v="0"/>
    <b v="0"/>
    <s v="ON"/>
    <s v="rmsprop"/>
    <x v="4"/>
    <n v="35"/>
    <n v="0.95050000000000001"/>
    <n v="0.71840000000000004"/>
    <n v="1.6904999999999999"/>
    <n v="0.55900000000000005"/>
  </r>
  <r>
    <s v="GRU"/>
    <x v="1"/>
    <x v="0"/>
    <b v="0"/>
    <s v="ON"/>
    <s v="rmsprop"/>
    <x v="5"/>
    <n v="34"/>
    <n v="0.8821"/>
    <n v="0.74439999999999995"/>
    <n v="1.6727000000000001"/>
    <n v="0.56299999999999994"/>
  </r>
  <r>
    <s v="GRU"/>
    <x v="1"/>
    <x v="1"/>
    <b v="0"/>
    <s v="OFF"/>
    <s v="adam"/>
    <x v="0"/>
    <n v="59"/>
    <n v="0.28910000000000002"/>
    <n v="0.91520000000000001"/>
    <n v="2.1934"/>
    <n v="0.50800000000000001"/>
  </r>
  <r>
    <s v="GRU"/>
    <x v="1"/>
    <x v="1"/>
    <b v="0"/>
    <s v="OFF"/>
    <s v="adam"/>
    <x v="1"/>
    <n v="58"/>
    <n v="0.24979999999999999"/>
    <n v="0.92649999999999999"/>
    <n v="2.2124999999999999"/>
    <n v="0.52400000000000002"/>
  </r>
  <r>
    <s v="GRU"/>
    <x v="1"/>
    <x v="1"/>
    <b v="0"/>
    <s v="OFF"/>
    <s v="adam"/>
    <x v="2"/>
    <n v="59"/>
    <n v="0.2319"/>
    <n v="0.93210000000000004"/>
    <n v="2.1265000000000001"/>
    <n v="0.53100000000000003"/>
  </r>
  <r>
    <s v="GRU"/>
    <x v="1"/>
    <x v="1"/>
    <b v="0"/>
    <s v="OFF"/>
    <s v="adam"/>
    <x v="3"/>
    <n v="58"/>
    <n v="0.20669999999999999"/>
    <n v="0.93769999999999998"/>
    <n v="2.2018"/>
    <n v="0.52749999999999997"/>
  </r>
  <r>
    <s v="GRU"/>
    <x v="1"/>
    <x v="1"/>
    <b v="0"/>
    <s v="OFF"/>
    <s v="adam"/>
    <x v="4"/>
    <n v="58"/>
    <n v="0.1915"/>
    <n v="0.94689999999999996"/>
    <n v="2.2338"/>
    <n v="0.51849999999999996"/>
  </r>
  <r>
    <s v="GRU"/>
    <x v="1"/>
    <x v="1"/>
    <b v="0"/>
    <s v="OFF"/>
    <s v="adam"/>
    <x v="5"/>
    <n v="58"/>
    <n v="0.17230000000000001"/>
    <n v="0.94840000000000002"/>
    <n v="2.2810000000000001"/>
    <n v="0.53200000000000003"/>
  </r>
  <r>
    <s v="GRU"/>
    <x v="1"/>
    <x v="1"/>
    <b v="0"/>
    <s v="OFF"/>
    <s v="rmsprop"/>
    <x v="0"/>
    <n v="58"/>
    <n v="0.86329999999999996"/>
    <n v="0.74280000000000002"/>
    <n v="1.7229000000000001"/>
    <n v="0.55300000000000005"/>
  </r>
  <r>
    <s v="GRU"/>
    <x v="1"/>
    <x v="1"/>
    <b v="0"/>
    <s v="OFF"/>
    <s v="rmsprop"/>
    <x v="1"/>
    <n v="58"/>
    <n v="0.79490000000000005"/>
    <n v="0.76439999999999997"/>
    <n v="1.7451000000000001"/>
    <n v="0.54749999999999999"/>
  </r>
  <r>
    <s v="GRU"/>
    <x v="1"/>
    <x v="1"/>
    <b v="0"/>
    <s v="OFF"/>
    <s v="rmsprop"/>
    <x v="2"/>
    <n v="58"/>
    <n v="0.7319"/>
    <n v="0.77890000000000004"/>
    <n v="1.7057"/>
    <n v="0.5615"/>
  </r>
  <r>
    <s v="GRU"/>
    <x v="1"/>
    <x v="1"/>
    <b v="0"/>
    <s v="OFF"/>
    <s v="rmsprop"/>
    <x v="3"/>
    <n v="58"/>
    <n v="0.6482"/>
    <n v="0.81240000000000001"/>
    <n v="1.8303"/>
    <n v="0.52249999999999996"/>
  </r>
  <r>
    <s v="GRU"/>
    <x v="1"/>
    <x v="1"/>
    <b v="0"/>
    <s v="OFF"/>
    <s v="rmsprop"/>
    <x v="4"/>
    <n v="58"/>
    <n v="0.60550000000000004"/>
    <n v="0.8165"/>
    <n v="1.8372999999999999"/>
    <n v="0.54649999999999999"/>
  </r>
  <r>
    <s v="GRU"/>
    <x v="1"/>
    <x v="1"/>
    <b v="0"/>
    <s v="OFF"/>
    <s v="rmsprop"/>
    <x v="5"/>
    <n v="58"/>
    <n v="0.55120000000000002"/>
    <n v="0.83250000000000002"/>
    <n v="1.88"/>
    <n v="0.53700000000000003"/>
  </r>
  <r>
    <s v="GRU"/>
    <x v="1"/>
    <x v="1"/>
    <b v="0"/>
    <s v="ON"/>
    <s v="adam"/>
    <x v="0"/>
    <n v="60"/>
    <n v="0.35720000000000002"/>
    <n v="0.89780000000000004"/>
    <n v="1.9637"/>
    <n v="0.53249999999999997"/>
  </r>
  <r>
    <s v="GRU"/>
    <x v="1"/>
    <x v="1"/>
    <b v="0"/>
    <s v="ON"/>
    <s v="adam"/>
    <x v="1"/>
    <n v="60"/>
    <n v="0.30859999999999999"/>
    <n v="0.91100000000000003"/>
    <n v="1.954"/>
    <n v="0.54449999999999998"/>
  </r>
  <r>
    <s v="GRU"/>
    <x v="1"/>
    <x v="1"/>
    <b v="0"/>
    <s v="ON"/>
    <s v="adam"/>
    <x v="2"/>
    <n v="67"/>
    <n v="0.25480000000000003"/>
    <n v="0.92589999999999995"/>
    <n v="2.0556000000000001"/>
    <n v="0.54349999999999998"/>
  </r>
  <r>
    <s v="GRU"/>
    <x v="1"/>
    <x v="1"/>
    <b v="0"/>
    <s v="ON"/>
    <s v="adam"/>
    <x v="3"/>
    <n v="63"/>
    <n v="0.2298"/>
    <n v="0.93340000000000001"/>
    <n v="2.0817999999999999"/>
    <n v="0.54549999999999998"/>
  </r>
  <r>
    <s v="GRU"/>
    <x v="1"/>
    <x v="1"/>
    <b v="0"/>
    <s v="ON"/>
    <s v="adam"/>
    <x v="4"/>
    <n v="62"/>
    <n v="0.20499999999999999"/>
    <n v="0.93889999999999996"/>
    <n v="2.1236999999999999"/>
    <n v="0.54149999999999998"/>
  </r>
  <r>
    <s v="GRU"/>
    <x v="1"/>
    <x v="1"/>
    <b v="0"/>
    <s v="ON"/>
    <s v="adam"/>
    <x v="5"/>
    <n v="64"/>
    <n v="0.18920000000000001"/>
    <n v="0.94510000000000005"/>
    <n v="2.1957"/>
    <n v="0.52549999999999997"/>
  </r>
  <r>
    <s v="GRU"/>
    <x v="1"/>
    <x v="1"/>
    <b v="0"/>
    <s v="ON"/>
    <s v="rmsprop"/>
    <x v="0"/>
    <n v="60"/>
    <n v="1.0611999999999999"/>
    <n v="0.6875"/>
    <n v="1.6368"/>
    <n v="0.55500000000000005"/>
  </r>
  <r>
    <s v="GRU"/>
    <x v="1"/>
    <x v="1"/>
    <b v="0"/>
    <s v="ON"/>
    <s v="rmsprop"/>
    <x v="1"/>
    <n v="60"/>
    <n v="1.0066999999999999"/>
    <n v="0.7"/>
    <n v="1.6620999999999999"/>
    <n v="0.56000000000000005"/>
  </r>
  <r>
    <s v="GRU"/>
    <x v="1"/>
    <x v="1"/>
    <b v="0"/>
    <s v="ON"/>
    <s v="rmsprop"/>
    <x v="2"/>
    <n v="63"/>
    <n v="0.93710000000000004"/>
    <n v="0.72450000000000003"/>
    <n v="1.6677999999999999"/>
    <n v="0.55449999999999999"/>
  </r>
  <r>
    <s v="GRU"/>
    <x v="1"/>
    <x v="1"/>
    <b v="0"/>
    <s v="ON"/>
    <s v="rmsprop"/>
    <x v="3"/>
    <n v="61"/>
    <n v="0.86539999999999995"/>
    <n v="0.74419999999999997"/>
    <n v="1.6264000000000001"/>
    <n v="0.55900000000000005"/>
  </r>
  <r>
    <s v="GRU"/>
    <x v="1"/>
    <x v="1"/>
    <b v="0"/>
    <s v="ON"/>
    <s v="rmsprop"/>
    <x v="4"/>
    <n v="64"/>
    <n v="0.80859999999999999"/>
    <n v="0.76749999999999996"/>
    <n v="1.6738999999999999"/>
    <n v="0.55200000000000005"/>
  </r>
  <r>
    <s v="GRU"/>
    <x v="1"/>
    <x v="1"/>
    <b v="0"/>
    <s v="ON"/>
    <s v="rmsprop"/>
    <x v="5"/>
    <n v="62"/>
    <n v="0.75249999999999995"/>
    <n v="0.78100000000000003"/>
    <n v="1.7115"/>
    <n v="0.55100000000000005"/>
  </r>
  <r>
    <s v="GRU"/>
    <x v="1"/>
    <x v="2"/>
    <b v="0"/>
    <s v="OFF"/>
    <s v="adam"/>
    <x v="0"/>
    <n v="113"/>
    <n v="0.29409999999999997"/>
    <n v="0.91390000000000005"/>
    <n v="2.028"/>
    <n v="0.53849999999999998"/>
  </r>
  <r>
    <s v="GRU"/>
    <x v="1"/>
    <x v="2"/>
    <b v="0"/>
    <s v="OFF"/>
    <s v="adam"/>
    <x v="1"/>
    <n v="112"/>
    <n v="0.24529999999999999"/>
    <n v="0.92310000000000003"/>
    <n v="2.0133000000000001"/>
    <n v="0.53849999999999998"/>
  </r>
  <r>
    <s v="GRU"/>
    <x v="1"/>
    <x v="2"/>
    <b v="0"/>
    <s v="OFF"/>
    <s v="adam"/>
    <x v="2"/>
    <n v="115"/>
    <n v="0.2341"/>
    <n v="0.93"/>
    <n v="2.0693000000000001"/>
    <n v="0.52449999999999997"/>
  </r>
  <r>
    <s v="GRU"/>
    <x v="1"/>
    <x v="2"/>
    <b v="0"/>
    <s v="OFF"/>
    <s v="adam"/>
    <x v="3"/>
    <n v="115"/>
    <n v="0.2006"/>
    <n v="0.94369999999999998"/>
    <n v="2.0840999999999998"/>
    <n v="0.52449999999999997"/>
  </r>
  <r>
    <s v="GRU"/>
    <x v="1"/>
    <x v="2"/>
    <b v="0"/>
    <s v="OFF"/>
    <s v="adam"/>
    <x v="4"/>
    <n v="114"/>
    <n v="0.18490000000000001"/>
    <n v="0.94489999999999996"/>
    <n v="2.1652"/>
    <n v="0.52649999999999997"/>
  </r>
  <r>
    <s v="GRU"/>
    <x v="1"/>
    <x v="2"/>
    <b v="0"/>
    <s v="OFF"/>
    <s v="adam"/>
    <x v="5"/>
    <n v="115"/>
    <n v="0.16309999999999999"/>
    <n v="0.95089999999999997"/>
    <n v="2.2416"/>
    <n v="0.52600000000000002"/>
  </r>
  <r>
    <s v="GRU"/>
    <x v="1"/>
    <x v="2"/>
    <b v="0"/>
    <s v="OFF"/>
    <s v="rmsprop"/>
    <x v="0"/>
    <n v="115"/>
    <n v="0.84509999999999996"/>
    <n v="0.74760000000000004"/>
    <n v="1.7364999999999999"/>
    <n v="0.53949999999999998"/>
  </r>
  <r>
    <s v="GRU"/>
    <x v="1"/>
    <x v="2"/>
    <b v="0"/>
    <s v="OFF"/>
    <s v="rmsprop"/>
    <x v="1"/>
    <n v="115"/>
    <n v="0.76690000000000003"/>
    <n v="0.76880000000000004"/>
    <n v="1.6671"/>
    <n v="0.56599999999999995"/>
  </r>
  <r>
    <s v="GRU"/>
    <x v="1"/>
    <x v="2"/>
    <b v="0"/>
    <s v="OFF"/>
    <s v="rmsprop"/>
    <x v="2"/>
    <n v="115"/>
    <n v="0.71309999999999996"/>
    <n v="0.78710000000000002"/>
    <n v="1.7745"/>
    <n v="0.55700000000000005"/>
  </r>
  <r>
    <s v="GRU"/>
    <x v="1"/>
    <x v="2"/>
    <b v="0"/>
    <s v="OFF"/>
    <s v="rmsprop"/>
    <x v="3"/>
    <n v="114"/>
    <n v="0.64490000000000003"/>
    <n v="0.81079999999999997"/>
    <n v="1.7118"/>
    <n v="0.5585"/>
  </r>
  <r>
    <s v="GRU"/>
    <x v="1"/>
    <x v="2"/>
    <b v="0"/>
    <s v="OFF"/>
    <s v="rmsprop"/>
    <x v="4"/>
    <n v="114"/>
    <n v="0.57650000000000001"/>
    <n v="0.82289999999999996"/>
    <n v="1.7890999999999999"/>
    <n v="0.55200000000000005"/>
  </r>
  <r>
    <s v="GRU"/>
    <x v="1"/>
    <x v="2"/>
    <b v="0"/>
    <s v="OFF"/>
    <s v="rmsprop"/>
    <x v="5"/>
    <n v="113"/>
    <n v="0.53600000000000003"/>
    <n v="0.83589999999999998"/>
    <n v="1.8609"/>
    <n v="0.55549999999999999"/>
  </r>
  <r>
    <s v="GRU"/>
    <x v="1"/>
    <x v="2"/>
    <b v="0"/>
    <s v="ON"/>
    <s v="adam"/>
    <x v="0"/>
    <n v="120"/>
    <n v="0.34050000000000002"/>
    <n v="0.90339999999999998"/>
    <n v="1.9975000000000001"/>
    <n v="0.53549999999999998"/>
  </r>
  <r>
    <s v="GRU"/>
    <x v="1"/>
    <x v="2"/>
    <b v="0"/>
    <s v="ON"/>
    <s v="adam"/>
    <x v="1"/>
    <n v="120"/>
    <n v="0.28079999999999999"/>
    <n v="0.91649999999999998"/>
    <n v="1.9462999999999999"/>
    <n v="0.54700000000000004"/>
  </r>
  <r>
    <s v="GRU"/>
    <x v="1"/>
    <x v="2"/>
    <b v="0"/>
    <s v="ON"/>
    <s v="adam"/>
    <x v="2"/>
    <n v="116"/>
    <n v="0.2535"/>
    <n v="0.92210000000000003"/>
    <n v="2.1320999999999999"/>
    <n v="0.53200000000000003"/>
  </r>
  <r>
    <s v="GRU"/>
    <x v="1"/>
    <x v="2"/>
    <b v="0"/>
    <s v="ON"/>
    <s v="adam"/>
    <x v="3"/>
    <n v="119"/>
    <n v="0.23499999999999999"/>
    <n v="0.9325"/>
    <n v="2.0960999999999999"/>
    <n v="0.54600000000000004"/>
  </r>
  <r>
    <s v="GRU"/>
    <x v="1"/>
    <x v="2"/>
    <b v="0"/>
    <s v="ON"/>
    <s v="adam"/>
    <x v="4"/>
    <n v="123"/>
    <n v="0.21659999999999999"/>
    <n v="0.93810000000000004"/>
    <n v="2.1356000000000002"/>
    <n v="0.53600000000000003"/>
  </r>
  <r>
    <s v="GRU"/>
    <x v="1"/>
    <x v="2"/>
    <b v="0"/>
    <s v="ON"/>
    <s v="adam"/>
    <x v="5"/>
    <n v="120"/>
    <n v="0.1706"/>
    <n v="0.94910000000000005"/>
    <n v="2.2113"/>
    <n v="0.54649999999999999"/>
  </r>
  <r>
    <s v="GRU"/>
    <x v="1"/>
    <x v="2"/>
    <b v="0"/>
    <s v="ON"/>
    <s v="rmsprop"/>
    <x v="0"/>
    <n v="119"/>
    <n v="1.0432999999999999"/>
    <n v="0.68559999999999999"/>
    <n v="1.6733"/>
    <n v="0.55149999999999999"/>
  </r>
  <r>
    <s v="GRU"/>
    <x v="1"/>
    <x v="2"/>
    <b v="0"/>
    <s v="ON"/>
    <s v="rmsprop"/>
    <x v="1"/>
    <n v="119"/>
    <n v="0.96830000000000005"/>
    <n v="0.70740000000000003"/>
    <n v="1.7096"/>
    <n v="0.54500000000000004"/>
  </r>
  <r>
    <s v="GRU"/>
    <x v="1"/>
    <x v="2"/>
    <b v="0"/>
    <s v="ON"/>
    <s v="rmsprop"/>
    <x v="2"/>
    <n v="119"/>
    <n v="0.91159999999999997"/>
    <n v="0.73050000000000004"/>
    <n v="1.7553000000000001"/>
    <n v="0.54049999999999998"/>
  </r>
  <r>
    <s v="GRU"/>
    <x v="1"/>
    <x v="2"/>
    <b v="0"/>
    <s v="ON"/>
    <s v="rmsprop"/>
    <x v="3"/>
    <n v="119"/>
    <n v="0.81850000000000001"/>
    <n v="0.76029999999999998"/>
    <n v="1.7057"/>
    <n v="0.54349999999999998"/>
  </r>
  <r>
    <s v="GRU"/>
    <x v="1"/>
    <x v="2"/>
    <b v="0"/>
    <s v="ON"/>
    <s v="rmsprop"/>
    <x v="4"/>
    <n v="119"/>
    <n v="0.7621"/>
    <n v="0.77070000000000005"/>
    <n v="1.639"/>
    <n v="0.55700000000000005"/>
  </r>
  <r>
    <s v="GRU"/>
    <x v="1"/>
    <x v="2"/>
    <b v="0"/>
    <s v="ON"/>
    <s v="rmsprop"/>
    <x v="5"/>
    <n v="120"/>
    <n v="0.71299999999999997"/>
    <n v="0.79110000000000003"/>
    <n v="1.7148000000000001"/>
    <n v="0.54549999999999998"/>
  </r>
  <r>
    <s v="GRU"/>
    <x v="2"/>
    <x v="0"/>
    <b v="0"/>
    <s v="OFF"/>
    <s v="adam"/>
    <x v="0"/>
    <n v="37"/>
    <n v="0.46610000000000001"/>
    <n v="0.86519999999999997"/>
    <n v="2.1118000000000001"/>
    <n v="0.52700000000000002"/>
  </r>
  <r>
    <s v="GRU"/>
    <x v="2"/>
    <x v="0"/>
    <b v="0"/>
    <s v="OFF"/>
    <s v="adam"/>
    <x v="1"/>
    <n v="37"/>
    <n v="0.42230000000000001"/>
    <n v="0.878"/>
    <n v="2.0956000000000001"/>
    <n v="0.51949999999999996"/>
  </r>
  <r>
    <s v="GRU"/>
    <x v="2"/>
    <x v="0"/>
    <b v="0"/>
    <s v="OFF"/>
    <s v="adam"/>
    <x v="2"/>
    <n v="37"/>
    <n v="0.38030000000000003"/>
    <n v="0.8861"/>
    <n v="2.1419000000000001"/>
    <n v="0.50549999999999995"/>
  </r>
  <r>
    <s v="GRU"/>
    <x v="2"/>
    <x v="0"/>
    <b v="0"/>
    <s v="OFF"/>
    <s v="adam"/>
    <x v="3"/>
    <n v="37"/>
    <n v="0.34089999999999998"/>
    <n v="0.90159999999999996"/>
    <n v="2.2450999999999999"/>
    <n v="0.501"/>
  </r>
  <r>
    <s v="GRU"/>
    <x v="2"/>
    <x v="0"/>
    <b v="0"/>
    <s v="OFF"/>
    <s v="adam"/>
    <x v="4"/>
    <n v="37"/>
    <n v="0.32269999999999999"/>
    <n v="0.90500000000000003"/>
    <n v="2.2625999999999999"/>
    <n v="0.52500000000000002"/>
  </r>
  <r>
    <s v="GRU"/>
    <x v="2"/>
    <x v="0"/>
    <b v="0"/>
    <s v="OFF"/>
    <s v="adam"/>
    <x v="5"/>
    <n v="37"/>
    <n v="0.2979"/>
    <n v="0.91679999999999995"/>
    <n v="2.2883"/>
    <n v="0.52649999999999997"/>
  </r>
  <r>
    <s v="GRU"/>
    <x v="2"/>
    <x v="0"/>
    <b v="0"/>
    <s v="OFF"/>
    <s v="rmsprop"/>
    <x v="0"/>
    <n v="36"/>
    <n v="1.1944999999999999"/>
    <n v="0.64339999999999997"/>
    <n v="1.7955000000000001"/>
    <n v="0.51249999999999996"/>
  </r>
  <r>
    <s v="GRU"/>
    <x v="2"/>
    <x v="0"/>
    <b v="0"/>
    <s v="OFF"/>
    <s v="rmsprop"/>
    <x v="1"/>
    <n v="36"/>
    <n v="1.0891999999999999"/>
    <n v="0.67349999999999999"/>
    <n v="1.7249000000000001"/>
    <n v="0.53949999999999998"/>
  </r>
  <r>
    <s v="GRU"/>
    <x v="2"/>
    <x v="0"/>
    <b v="0"/>
    <s v="OFF"/>
    <s v="rmsprop"/>
    <x v="2"/>
    <n v="36"/>
    <n v="1.0039"/>
    <n v="0.69850000000000001"/>
    <n v="1.7250000000000001"/>
    <n v="0.54649999999999999"/>
  </r>
  <r>
    <s v="GRU"/>
    <x v="2"/>
    <x v="0"/>
    <b v="0"/>
    <s v="OFF"/>
    <s v="rmsprop"/>
    <x v="3"/>
    <n v="36"/>
    <n v="0.95050000000000001"/>
    <n v="0.71919999999999995"/>
    <n v="1.7415"/>
    <n v="0.54800000000000004"/>
  </r>
  <r>
    <s v="GRU"/>
    <x v="2"/>
    <x v="0"/>
    <b v="0"/>
    <s v="OFF"/>
    <s v="rmsprop"/>
    <x v="4"/>
    <n v="36"/>
    <n v="0.89859999999999995"/>
    <n v="0.73460000000000003"/>
    <n v="1.7366999999999999"/>
    <n v="0.54549999999999998"/>
  </r>
  <r>
    <s v="GRU"/>
    <x v="2"/>
    <x v="0"/>
    <b v="0"/>
    <s v="OFF"/>
    <s v="rmsprop"/>
    <x v="5"/>
    <n v="36"/>
    <n v="0.84279999999999999"/>
    <n v="0.75209999999999999"/>
    <n v="1.7807999999999999"/>
    <n v="0.54649999999999999"/>
  </r>
  <r>
    <s v="GRU"/>
    <x v="2"/>
    <x v="0"/>
    <b v="0"/>
    <s v="ON"/>
    <s v="adam"/>
    <x v="0"/>
    <n v="38"/>
    <n v="0.64239999999999997"/>
    <n v="0.81259999999999999"/>
    <n v="1.8624000000000001"/>
    <n v="0.52900000000000003"/>
  </r>
  <r>
    <s v="GRU"/>
    <x v="2"/>
    <x v="0"/>
    <b v="0"/>
    <s v="ON"/>
    <s v="adam"/>
    <x v="1"/>
    <n v="38"/>
    <n v="0.54869999999999997"/>
    <n v="0.84450000000000003"/>
    <n v="1.9007000000000001"/>
    <n v="0.53449999999999998"/>
  </r>
  <r>
    <s v="GRU"/>
    <x v="2"/>
    <x v="0"/>
    <b v="0"/>
    <s v="ON"/>
    <s v="adam"/>
    <x v="2"/>
    <n v="38"/>
    <n v="0.50839999999999996"/>
    <n v="0.8538"/>
    <n v="1.9079999999999999"/>
    <n v="0.54349999999999998"/>
  </r>
  <r>
    <s v="GRU"/>
    <x v="2"/>
    <x v="0"/>
    <b v="0"/>
    <s v="ON"/>
    <s v="adam"/>
    <x v="3"/>
    <n v="38"/>
    <n v="0.42520000000000002"/>
    <n v="0.87890000000000001"/>
    <n v="1.9422999999999999"/>
    <n v="0.55649999999999999"/>
  </r>
  <r>
    <s v="GRU"/>
    <x v="2"/>
    <x v="0"/>
    <b v="0"/>
    <s v="ON"/>
    <s v="adam"/>
    <x v="4"/>
    <n v="38"/>
    <n v="0.3952"/>
    <n v="0.88700000000000001"/>
    <n v="1.9711000000000001"/>
    <n v="0.54649999999999999"/>
  </r>
  <r>
    <s v="GRU"/>
    <x v="2"/>
    <x v="0"/>
    <b v="0"/>
    <s v="ON"/>
    <s v="adam"/>
    <x v="5"/>
    <n v="38"/>
    <n v="0.36220000000000002"/>
    <n v="0.89639999999999997"/>
    <n v="2.0356999999999998"/>
    <n v="0.54200000000000004"/>
  </r>
  <r>
    <s v="GRU"/>
    <x v="2"/>
    <x v="0"/>
    <b v="0"/>
    <s v="ON"/>
    <s v="rmsprop"/>
    <x v="0"/>
    <n v="39"/>
    <n v="1.3940999999999999"/>
    <n v="0.58499999999999996"/>
    <n v="1.7745"/>
    <n v="0.51349999999999996"/>
  </r>
  <r>
    <s v="GRU"/>
    <x v="2"/>
    <x v="0"/>
    <b v="0"/>
    <s v="ON"/>
    <s v="rmsprop"/>
    <x v="1"/>
    <n v="40"/>
    <n v="1.2938000000000001"/>
    <n v="0.61050000000000004"/>
    <n v="1.7628999999999999"/>
    <n v="0.51949999999999996"/>
  </r>
  <r>
    <s v="GRU"/>
    <x v="2"/>
    <x v="0"/>
    <b v="0"/>
    <s v="ON"/>
    <s v="rmsprop"/>
    <x v="2"/>
    <n v="40"/>
    <n v="1.2408999999999999"/>
    <n v="0.63160000000000005"/>
    <n v="1.7119"/>
    <n v="0.53900000000000003"/>
  </r>
  <r>
    <s v="GRU"/>
    <x v="2"/>
    <x v="0"/>
    <b v="0"/>
    <s v="ON"/>
    <s v="rmsprop"/>
    <x v="3"/>
    <n v="39"/>
    <n v="1.1850000000000001"/>
    <n v="0.64449999999999996"/>
    <n v="1.6915"/>
    <n v="0.54649999999999999"/>
  </r>
  <r>
    <s v="GRU"/>
    <x v="2"/>
    <x v="0"/>
    <b v="0"/>
    <s v="ON"/>
    <s v="rmsprop"/>
    <x v="4"/>
    <n v="39"/>
    <n v="1.1357999999999999"/>
    <n v="0.66690000000000005"/>
    <n v="1.6559999999999999"/>
    <n v="0.55649999999999999"/>
  </r>
  <r>
    <s v="GRU"/>
    <x v="2"/>
    <x v="0"/>
    <b v="0"/>
    <s v="ON"/>
    <s v="rmsprop"/>
    <x v="5"/>
    <n v="39"/>
    <n v="1.0564"/>
    <n v="0.69089999999999996"/>
    <n v="1.6901999999999999"/>
    <n v="0.54600000000000004"/>
  </r>
  <r>
    <s v="GRU"/>
    <x v="2"/>
    <x v="1"/>
    <b v="0"/>
    <s v="OFF"/>
    <s v="adam"/>
    <x v="0"/>
    <n v="59"/>
    <n v="0.42249999999999999"/>
    <n v="0.875"/>
    <n v="2.0407999999999999"/>
    <n v="0.51649999999999996"/>
  </r>
  <r>
    <s v="GRU"/>
    <x v="2"/>
    <x v="1"/>
    <b v="0"/>
    <s v="OFF"/>
    <s v="adam"/>
    <x v="1"/>
    <n v="59"/>
    <n v="0.3569"/>
    <n v="0.89219999999999999"/>
    <n v="2.048"/>
    <n v="0.52249999999999996"/>
  </r>
  <r>
    <s v="GRU"/>
    <x v="2"/>
    <x v="1"/>
    <b v="0"/>
    <s v="OFF"/>
    <s v="adam"/>
    <x v="2"/>
    <n v="59"/>
    <n v="0.34200000000000003"/>
    <n v="0.89949999999999997"/>
    <n v="2.0590999999999999"/>
    <n v="0.52749999999999997"/>
  </r>
  <r>
    <s v="GRU"/>
    <x v="2"/>
    <x v="1"/>
    <b v="0"/>
    <s v="OFF"/>
    <s v="adam"/>
    <x v="3"/>
    <n v="59"/>
    <n v="0.32440000000000002"/>
    <n v="0.90439999999999998"/>
    <n v="2.1166999999999998"/>
    <n v="0.54549999999999998"/>
  </r>
  <r>
    <s v="GRU"/>
    <x v="2"/>
    <x v="1"/>
    <b v="0"/>
    <s v="OFF"/>
    <s v="adam"/>
    <x v="4"/>
    <n v="59"/>
    <n v="0.25840000000000002"/>
    <n v="0.91949999999999998"/>
    <n v="2.2275999999999998"/>
    <n v="0.52149999999999996"/>
  </r>
  <r>
    <s v="GRU"/>
    <x v="2"/>
    <x v="1"/>
    <b v="0"/>
    <s v="OFF"/>
    <s v="adam"/>
    <x v="5"/>
    <n v="59"/>
    <n v="0.2576"/>
    <n v="0.92300000000000004"/>
    <n v="2.1863000000000001"/>
    <n v="0.53100000000000003"/>
  </r>
  <r>
    <s v="GRU"/>
    <x v="2"/>
    <x v="1"/>
    <b v="0"/>
    <s v="OFF"/>
    <s v="rmsprop"/>
    <x v="0"/>
    <n v="58"/>
    <n v="1.0277000000000001"/>
    <n v="0.6925"/>
    <n v="1.7102999999999999"/>
    <n v="0.54049999999999998"/>
  </r>
  <r>
    <s v="GRU"/>
    <x v="2"/>
    <x v="1"/>
    <b v="0"/>
    <s v="OFF"/>
    <s v="rmsprop"/>
    <x v="1"/>
    <n v="58"/>
    <n v="0.96250000000000002"/>
    <n v="0.71689999999999998"/>
    <n v="1.6711"/>
    <n v="0.54449999999999998"/>
  </r>
  <r>
    <s v="GRU"/>
    <x v="2"/>
    <x v="1"/>
    <b v="0"/>
    <s v="OFF"/>
    <s v="rmsprop"/>
    <x v="2"/>
    <n v="58"/>
    <n v="0.89229999999999998"/>
    <n v="0.73370000000000002"/>
    <n v="1.6407"/>
    <n v="0.55449999999999999"/>
  </r>
  <r>
    <s v="GRU"/>
    <x v="2"/>
    <x v="1"/>
    <b v="0"/>
    <s v="OFF"/>
    <s v="rmsprop"/>
    <x v="3"/>
    <n v="58"/>
    <n v="0.83930000000000005"/>
    <n v="0.74939999999999996"/>
    <n v="1.7178"/>
    <n v="0.54949999999999999"/>
  </r>
  <r>
    <s v="GRU"/>
    <x v="2"/>
    <x v="1"/>
    <b v="0"/>
    <s v="OFF"/>
    <s v="rmsprop"/>
    <x v="4"/>
    <n v="61"/>
    <n v="0.77539999999999998"/>
    <n v="0.76959999999999995"/>
    <n v="1.7491000000000001"/>
    <n v="0.54200000000000004"/>
  </r>
  <r>
    <s v="GRU"/>
    <x v="2"/>
    <x v="1"/>
    <b v="0"/>
    <s v="OFF"/>
    <s v="rmsprop"/>
    <x v="5"/>
    <n v="58"/>
    <n v="0.73229999999999995"/>
    <n v="0.78090000000000004"/>
    <n v="1.6818"/>
    <n v="0.55500000000000005"/>
  </r>
  <r>
    <s v="GRU"/>
    <x v="2"/>
    <x v="1"/>
    <b v="0"/>
    <s v="ON"/>
    <s v="adam"/>
    <x v="0"/>
    <n v="61"/>
    <n v="0.54490000000000005"/>
    <n v="0.83950000000000002"/>
    <n v="1.776"/>
    <n v="0.55900000000000005"/>
  </r>
  <r>
    <s v="GRU"/>
    <x v="2"/>
    <x v="1"/>
    <b v="0"/>
    <s v="ON"/>
    <s v="adam"/>
    <x v="1"/>
    <n v="61"/>
    <n v="0.46800000000000003"/>
    <n v="0.8629"/>
    <n v="1.8262"/>
    <n v="0.53749999999999998"/>
  </r>
  <r>
    <s v="GRU"/>
    <x v="2"/>
    <x v="1"/>
    <b v="0"/>
    <s v="ON"/>
    <s v="adam"/>
    <x v="2"/>
    <n v="61"/>
    <n v="0.41399999999999998"/>
    <n v="0.87549999999999994"/>
    <n v="1.8562000000000001"/>
    <n v="0.54649999999999999"/>
  </r>
  <r>
    <s v="GRU"/>
    <x v="2"/>
    <x v="1"/>
    <b v="0"/>
    <s v="ON"/>
    <s v="adam"/>
    <x v="3"/>
    <n v="62"/>
    <n v="0.37640000000000001"/>
    <n v="0.88719999999999999"/>
    <n v="1.8843000000000001"/>
    <n v="0.55349999999999999"/>
  </r>
  <r>
    <s v="GRU"/>
    <x v="2"/>
    <x v="1"/>
    <b v="0"/>
    <s v="ON"/>
    <s v="adam"/>
    <x v="4"/>
    <n v="61"/>
    <n v="0.33789999999999998"/>
    <n v="0.90290000000000004"/>
    <n v="1.9470000000000001"/>
    <n v="0.55149999999999999"/>
  </r>
  <r>
    <s v="GRU"/>
    <x v="2"/>
    <x v="1"/>
    <b v="0"/>
    <s v="ON"/>
    <s v="adam"/>
    <x v="5"/>
    <n v="61"/>
    <n v="0.30859999999999999"/>
    <n v="0.91190000000000004"/>
    <n v="1.9359999999999999"/>
    <n v="0.54200000000000004"/>
  </r>
  <r>
    <s v="GRU"/>
    <x v="2"/>
    <x v="1"/>
    <b v="0"/>
    <s v="ON"/>
    <s v="rmsprop"/>
    <x v="0"/>
    <n v="61"/>
    <n v="1.2748999999999999"/>
    <n v="0.61209999999999998"/>
    <n v="1.6859999999999999"/>
    <n v="0.54249999999999998"/>
  </r>
  <r>
    <s v="GRU"/>
    <x v="2"/>
    <x v="1"/>
    <b v="0"/>
    <s v="ON"/>
    <s v="rmsprop"/>
    <x v="1"/>
    <n v="61"/>
    <n v="1.1859"/>
    <n v="0.64610000000000001"/>
    <n v="1.6675"/>
    <n v="0.54500000000000004"/>
  </r>
  <r>
    <s v="GRU"/>
    <x v="2"/>
    <x v="1"/>
    <b v="0"/>
    <s v="ON"/>
    <s v="rmsprop"/>
    <x v="2"/>
    <n v="61"/>
    <n v="1.1060000000000001"/>
    <n v="0.67279999999999995"/>
    <n v="1.6292"/>
    <n v="0.55249999999999999"/>
  </r>
  <r>
    <s v="GRU"/>
    <x v="2"/>
    <x v="1"/>
    <b v="0"/>
    <s v="ON"/>
    <s v="rmsprop"/>
    <x v="3"/>
    <n v="61"/>
    <n v="1.0429999999999999"/>
    <n v="0.6875"/>
    <n v="1.6319999999999999"/>
    <n v="0.5585"/>
  </r>
  <r>
    <s v="GRU"/>
    <x v="2"/>
    <x v="1"/>
    <b v="0"/>
    <s v="ON"/>
    <s v="rmsprop"/>
    <x v="4"/>
    <n v="61"/>
    <n v="1.0021"/>
    <n v="0.70689999999999997"/>
    <n v="1.6754"/>
    <n v="0.54900000000000004"/>
  </r>
  <r>
    <s v="GRU"/>
    <x v="2"/>
    <x v="1"/>
    <b v="0"/>
    <s v="ON"/>
    <s v="rmsprop"/>
    <x v="5"/>
    <n v="61"/>
    <n v="0.95069999999999999"/>
    <n v="0.71630000000000005"/>
    <n v="1.6247"/>
    <n v="0.55249999999999999"/>
  </r>
  <r>
    <s v="GRU"/>
    <x v="2"/>
    <x v="2"/>
    <b v="0"/>
    <s v="OFF"/>
    <s v="adam"/>
    <x v="0"/>
    <n v="116"/>
    <n v="0.39350000000000002"/>
    <n v="0.88339999999999996"/>
    <n v="1.8731"/>
    <n v="0.54700000000000004"/>
  </r>
  <r>
    <s v="GRU"/>
    <x v="2"/>
    <x v="2"/>
    <b v="0"/>
    <s v="OFF"/>
    <s v="adam"/>
    <x v="1"/>
    <n v="117"/>
    <n v="0.34810000000000002"/>
    <n v="0.89739999999999998"/>
    <n v="1.9120999999999999"/>
    <n v="0.53500000000000003"/>
  </r>
  <r>
    <s v="GRU"/>
    <x v="2"/>
    <x v="2"/>
    <b v="0"/>
    <s v="OFF"/>
    <s v="adam"/>
    <x v="2"/>
    <n v="117"/>
    <n v="0.30769999999999997"/>
    <n v="0.90710000000000002"/>
    <n v="1.8931"/>
    <n v="0.54949999999999999"/>
  </r>
  <r>
    <s v="GRU"/>
    <x v="2"/>
    <x v="2"/>
    <b v="0"/>
    <s v="OFF"/>
    <s v="adam"/>
    <x v="3"/>
    <n v="117"/>
    <n v="0.26150000000000001"/>
    <n v="0.92110000000000003"/>
    <n v="1.9630000000000001"/>
    <n v="0.54549999999999998"/>
  </r>
  <r>
    <s v="GRU"/>
    <x v="2"/>
    <x v="2"/>
    <b v="0"/>
    <s v="OFF"/>
    <s v="adam"/>
    <x v="4"/>
    <n v="117"/>
    <n v="0.24610000000000001"/>
    <n v="0.92889999999999995"/>
    <n v="2.0402"/>
    <n v="0.54700000000000004"/>
  </r>
  <r>
    <s v="GRU"/>
    <x v="2"/>
    <x v="2"/>
    <b v="0"/>
    <s v="OFF"/>
    <s v="adam"/>
    <x v="5"/>
    <n v="117"/>
    <n v="0.22239999999999999"/>
    <n v="0.93259999999999998"/>
    <n v="2.1109"/>
    <n v="0.52249999999999996"/>
  </r>
  <r>
    <s v="GRU"/>
    <x v="2"/>
    <x v="2"/>
    <b v="0"/>
    <s v="OFF"/>
    <s v="rmsprop"/>
    <x v="0"/>
    <n v="116"/>
    <n v="1.0350999999999999"/>
    <n v="0.68789999999999996"/>
    <n v="1.6573"/>
    <n v="0.55000000000000004"/>
  </r>
  <r>
    <s v="GRU"/>
    <x v="2"/>
    <x v="2"/>
    <b v="0"/>
    <s v="OFF"/>
    <s v="rmsprop"/>
    <x v="1"/>
    <n v="115"/>
    <n v="0.9728"/>
    <n v="0.70409999999999995"/>
    <n v="1.6774"/>
    <n v="0.55600000000000005"/>
  </r>
  <r>
    <s v="GRU"/>
    <x v="2"/>
    <x v="2"/>
    <b v="0"/>
    <s v="OFF"/>
    <s v="rmsprop"/>
    <x v="2"/>
    <n v="115"/>
    <n v="0.90600000000000003"/>
    <n v="0.7238"/>
    <n v="1.6475"/>
    <n v="0.55649999999999999"/>
  </r>
  <r>
    <s v="GRU"/>
    <x v="2"/>
    <x v="2"/>
    <b v="0"/>
    <s v="OFF"/>
    <s v="rmsprop"/>
    <x v="3"/>
    <n v="115"/>
    <n v="0.83020000000000005"/>
    <n v="0.74919999999999998"/>
    <n v="1.704"/>
    <n v="0.55149999999999999"/>
  </r>
  <r>
    <s v="GRU"/>
    <x v="2"/>
    <x v="2"/>
    <b v="0"/>
    <s v="OFF"/>
    <s v="rmsprop"/>
    <x v="4"/>
    <n v="115"/>
    <n v="0.78420000000000001"/>
    <n v="0.76719999999999999"/>
    <n v="1.7341"/>
    <n v="0.54449999999999998"/>
  </r>
  <r>
    <s v="GRU"/>
    <x v="2"/>
    <x v="2"/>
    <b v="0"/>
    <s v="OFF"/>
    <s v="rmsprop"/>
    <x v="5"/>
    <n v="115"/>
    <n v="0.71260000000000001"/>
    <n v="0.78159999999999996"/>
    <n v="1.7443"/>
    <n v="0.55600000000000005"/>
  </r>
  <r>
    <s v="GRU"/>
    <x v="2"/>
    <x v="2"/>
    <b v="0"/>
    <s v="ON"/>
    <s v="adam"/>
    <x v="0"/>
    <n v="119"/>
    <n v="0.45700000000000002"/>
    <n v="0.86409999999999998"/>
    <n v="1.8371"/>
    <n v="0.54200000000000004"/>
  </r>
  <r>
    <s v="GRU"/>
    <x v="2"/>
    <x v="2"/>
    <b v="0"/>
    <s v="ON"/>
    <s v="adam"/>
    <x v="1"/>
    <n v="119"/>
    <n v="0.40279999999999999"/>
    <n v="0.88080000000000003"/>
    <n v="1.8489"/>
    <n v="0.54649999999999999"/>
  </r>
  <r>
    <s v="GRU"/>
    <x v="2"/>
    <x v="2"/>
    <b v="0"/>
    <s v="ON"/>
    <s v="adam"/>
    <x v="2"/>
    <n v="118"/>
    <n v="0.34470000000000001"/>
    <n v="0.89590000000000003"/>
    <n v="1.9369000000000001"/>
    <n v="0.54200000000000004"/>
  </r>
  <r>
    <s v="GRU"/>
    <x v="2"/>
    <x v="2"/>
    <b v="0"/>
    <s v="ON"/>
    <s v="adam"/>
    <x v="3"/>
    <n v="119"/>
    <n v="0.31319999999999998"/>
    <n v="0.90900000000000003"/>
    <n v="1.9819"/>
    <n v="0.55100000000000005"/>
  </r>
  <r>
    <s v="GRU"/>
    <x v="2"/>
    <x v="2"/>
    <b v="0"/>
    <s v="ON"/>
    <s v="adam"/>
    <x v="4"/>
    <n v="119"/>
    <n v="0.2913"/>
    <n v="0.91539999999999999"/>
    <n v="1.9677"/>
    <n v="0.55300000000000005"/>
  </r>
  <r>
    <s v="GRU"/>
    <x v="2"/>
    <x v="2"/>
    <b v="0"/>
    <s v="ON"/>
    <s v="adam"/>
    <x v="5"/>
    <n v="119"/>
    <n v="0.25090000000000001"/>
    <n v="0.92769999999999997"/>
    <n v="2.0655000000000001"/>
    <n v="0.52549999999999997"/>
  </r>
  <r>
    <s v="GRU"/>
    <x v="2"/>
    <x v="2"/>
    <b v="0"/>
    <s v="ON"/>
    <s v="rmsprop"/>
    <x v="0"/>
    <n v="120"/>
    <n v="1.1919"/>
    <n v="0.64219999999999999"/>
    <n v="1.6545000000000001"/>
    <n v="0.55000000000000004"/>
  </r>
  <r>
    <s v="GRU"/>
    <x v="2"/>
    <x v="2"/>
    <b v="0"/>
    <s v="ON"/>
    <s v="rmsprop"/>
    <x v="1"/>
    <n v="120"/>
    <n v="1.1079000000000001"/>
    <n v="0.66959999999999997"/>
    <n v="1.6716"/>
    <n v="0.54900000000000004"/>
  </r>
  <r>
    <s v="GRU"/>
    <x v="2"/>
    <x v="2"/>
    <b v="0"/>
    <s v="ON"/>
    <s v="rmsprop"/>
    <x v="2"/>
    <n v="120"/>
    <n v="1.0327"/>
    <n v="0.68710000000000004"/>
    <n v="1.6281000000000001"/>
    <n v="0.55900000000000005"/>
  </r>
  <r>
    <s v="GRU"/>
    <x v="2"/>
    <x v="2"/>
    <b v="0"/>
    <s v="ON"/>
    <s v="rmsprop"/>
    <x v="3"/>
    <n v="120"/>
    <n v="0.98160000000000003"/>
    <n v="0.70150000000000001"/>
    <n v="1.5972999999999999"/>
    <n v="0.57350000000000001"/>
  </r>
  <r>
    <s v="GRU"/>
    <x v="2"/>
    <x v="2"/>
    <b v="0"/>
    <s v="ON"/>
    <s v="rmsprop"/>
    <x v="4"/>
    <n v="120"/>
    <n v="0.92490000000000006"/>
    <n v="0.72360000000000002"/>
    <n v="1.6735"/>
    <n v="0.55200000000000005"/>
  </r>
  <r>
    <s v="GRU"/>
    <x v="2"/>
    <x v="2"/>
    <b v="0"/>
    <s v="ON"/>
    <s v="rmsprop"/>
    <x v="5"/>
    <n v="120"/>
    <n v="0.86160000000000003"/>
    <n v="0.74039999999999995"/>
    <n v="1.6245000000000001"/>
    <n v="0.5669999999999999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432">
  <r>
    <x v="0"/>
    <n v="0.5"/>
    <n v="128"/>
    <b v="0"/>
    <s v="OFF"/>
    <s v="rmsprop"/>
    <x v="0"/>
    <n v="73"/>
    <n v="1.0187999999999999"/>
    <n v="0.69730000000000003"/>
    <n v="1.6406000000000001"/>
    <n v="0.56850000000000001"/>
  </r>
  <r>
    <x v="0"/>
    <n v="0.5"/>
    <n v="64"/>
    <b v="0"/>
    <s v="OFF"/>
    <s v="rmsprop"/>
    <x v="1"/>
    <n v="48"/>
    <n v="0.86990000000000001"/>
    <n v="0.74739999999999995"/>
    <n v="1.6950000000000001"/>
    <n v="0.56799999999999995"/>
  </r>
  <r>
    <x v="0"/>
    <n v="0.5"/>
    <n v="128"/>
    <b v="0"/>
    <s v="ON"/>
    <s v="rmsprop"/>
    <x v="1"/>
    <n v="75"/>
    <n v="1.1315"/>
    <n v="0.65759999999999996"/>
    <n v="1.6637"/>
    <n v="0.56699999999999995"/>
  </r>
  <r>
    <x v="0"/>
    <n v="0.3"/>
    <n v="64"/>
    <b v="0"/>
    <s v="ON"/>
    <s v="rmsprop"/>
    <x v="1"/>
    <n v="41"/>
    <n v="1.0868"/>
    <n v="0.67749999999999999"/>
    <n v="1.7091000000000001"/>
    <n v="0.5635"/>
  </r>
  <r>
    <x v="0"/>
    <n v="0.3"/>
    <n v="128"/>
    <b v="0"/>
    <s v="OFF"/>
    <s v="rmsprop"/>
    <x v="2"/>
    <n v="73"/>
    <n v="0.93379999999999996"/>
    <n v="0.7248"/>
    <n v="1.6236999999999999"/>
    <n v="0.56299999999999994"/>
  </r>
  <r>
    <x v="0"/>
    <n v="0.3"/>
    <n v="128"/>
    <b v="0"/>
    <s v="ON"/>
    <s v="rmsprop"/>
    <x v="1"/>
    <n v="70"/>
    <n v="0.97889999999999999"/>
    <n v="0.71160000000000001"/>
    <n v="1.7085999999999999"/>
    <n v="0.56100000000000005"/>
  </r>
  <r>
    <x v="0"/>
    <n v="0.3"/>
    <n v="128"/>
    <b v="0"/>
    <s v="OFF"/>
    <s v="rmsprop"/>
    <x v="0"/>
    <n v="73"/>
    <n v="0.86319999999999997"/>
    <n v="0.748"/>
    <n v="1.659"/>
    <n v="0.5605"/>
  </r>
  <r>
    <x v="0"/>
    <n v="0.1"/>
    <n v="256"/>
    <b v="0"/>
    <s v="ON"/>
    <s v="rmsprop"/>
    <x v="3"/>
    <n v="150"/>
    <n v="1.0213000000000001"/>
    <n v="0.69410000000000005"/>
    <n v="1.6809000000000001"/>
    <n v="0.56000000000000005"/>
  </r>
  <r>
    <x v="0"/>
    <n v="0.1"/>
    <n v="64"/>
    <b v="0"/>
    <s v="OFF"/>
    <s v="rmsprop"/>
    <x v="4"/>
    <n v="47"/>
    <n v="0.66339999999999999"/>
    <n v="0.80600000000000005"/>
    <n v="1.8407"/>
    <n v="0.5595"/>
  </r>
  <r>
    <x v="0"/>
    <n v="0.3"/>
    <n v="256"/>
    <b v="0"/>
    <s v="OFF"/>
    <s v="rmsprop"/>
    <x v="1"/>
    <n v="146"/>
    <n v="0.72060000000000002"/>
    <n v="0.78749999999999998"/>
    <n v="1.6993"/>
    <n v="0.55900000000000005"/>
  </r>
  <r>
    <x v="0"/>
    <n v="0.5"/>
    <n v="64"/>
    <b v="0"/>
    <s v="OFF"/>
    <s v="rmsprop"/>
    <x v="3"/>
    <n v="49"/>
    <n v="0.97230000000000005"/>
    <n v="0.71260000000000001"/>
    <n v="1.7457"/>
    <n v="0.55800000000000005"/>
  </r>
  <r>
    <x v="0"/>
    <n v="0.5"/>
    <n v="256"/>
    <b v="0"/>
    <s v="OFF"/>
    <s v="rmsprop"/>
    <x v="4"/>
    <n v="139"/>
    <n v="0.92600000000000005"/>
    <n v="0.72460000000000002"/>
    <n v="1.6722999999999999"/>
    <n v="0.5575"/>
  </r>
  <r>
    <x v="0"/>
    <n v="0.3"/>
    <n v="256"/>
    <b v="0"/>
    <s v="OFF"/>
    <s v="rmsprop"/>
    <x v="0"/>
    <n v="140"/>
    <n v="0.90449999999999997"/>
    <n v="0.72709999999999997"/>
    <n v="1.6526000000000001"/>
    <n v="0.55700000000000005"/>
  </r>
  <r>
    <x v="0"/>
    <n v="0.5"/>
    <n v="64"/>
    <b v="0"/>
    <s v="OFF"/>
    <s v="rmsprop"/>
    <x v="2"/>
    <n v="49"/>
    <n v="1.1114999999999999"/>
    <n v="0.67330000000000001"/>
    <n v="1.6641999999999999"/>
    <n v="0.55600000000000005"/>
  </r>
  <r>
    <x v="0"/>
    <n v="0.5"/>
    <n v="128"/>
    <b v="0"/>
    <s v="OFF"/>
    <s v="rmsprop"/>
    <x v="4"/>
    <n v="74"/>
    <n v="0.89380000000000004"/>
    <n v="0.73280000000000001"/>
    <n v="1.6259999999999999"/>
    <n v="0.55600000000000005"/>
  </r>
  <r>
    <x v="0"/>
    <n v="0.1"/>
    <n v="128"/>
    <b v="0"/>
    <s v="OFF"/>
    <s v="rmsprop"/>
    <x v="0"/>
    <n v="72"/>
    <n v="0.76759999999999995"/>
    <n v="0.77159999999999995"/>
    <n v="1.7309000000000001"/>
    <n v="0.55549999999999999"/>
  </r>
  <r>
    <x v="0"/>
    <n v="0.3"/>
    <n v="64"/>
    <b v="0"/>
    <s v="ON"/>
    <s v="rmsprop"/>
    <x v="4"/>
    <n v="41"/>
    <n v="1.1672"/>
    <n v="0.65410000000000001"/>
    <n v="1.7074"/>
    <n v="0.55500000000000005"/>
  </r>
  <r>
    <x v="0"/>
    <n v="0.5"/>
    <n v="256"/>
    <b v="0"/>
    <s v="ON"/>
    <s v="adam"/>
    <x v="1"/>
    <n v="145"/>
    <n v="0.36969999999999997"/>
    <n v="0.89159999999999995"/>
    <n v="2.0588000000000002"/>
    <n v="0.55449999999999999"/>
  </r>
  <r>
    <x v="0"/>
    <n v="0.5"/>
    <n v="256"/>
    <b v="0"/>
    <s v="ON"/>
    <s v="rmsprop"/>
    <x v="1"/>
    <n v="149"/>
    <n v="1.1086"/>
    <n v="0.67349999999999999"/>
    <n v="1.6700999999999999"/>
    <n v="0.55449999999999999"/>
  </r>
  <r>
    <x v="0"/>
    <n v="0.1"/>
    <n v="128"/>
    <b v="0"/>
    <s v="OFF"/>
    <s v="rmsprop"/>
    <x v="5"/>
    <n v="72"/>
    <n v="0.92149999999999999"/>
    <n v="0.72860000000000003"/>
    <n v="1.6588000000000001"/>
    <n v="0.55449999999999999"/>
  </r>
  <r>
    <x v="0"/>
    <n v="0.3"/>
    <n v="256"/>
    <b v="0"/>
    <s v="ON"/>
    <s v="adam"/>
    <x v="3"/>
    <n v="143"/>
    <n v="0.31209999999999999"/>
    <n v="0.91049999999999998"/>
    <n v="2.0070000000000001"/>
    <n v="0.55400000000000005"/>
  </r>
  <r>
    <x v="0"/>
    <n v="0.5"/>
    <n v="128"/>
    <b v="0"/>
    <s v="OFF"/>
    <s v="rmsprop"/>
    <x v="3"/>
    <n v="74"/>
    <n v="0.94399999999999995"/>
    <n v="0.71989999999999998"/>
    <n v="1.6692"/>
    <n v="0.55400000000000005"/>
  </r>
  <r>
    <x v="0"/>
    <n v="0.5"/>
    <n v="256"/>
    <b v="0"/>
    <s v="OFF"/>
    <s v="rmsprop"/>
    <x v="1"/>
    <n v="140"/>
    <n v="0.87450000000000006"/>
    <n v="0.74339999999999995"/>
    <n v="1.6587000000000001"/>
    <n v="0.55349999999999999"/>
  </r>
  <r>
    <x v="0"/>
    <n v="0.1"/>
    <n v="256"/>
    <b v="0"/>
    <s v="ON"/>
    <s v="rmsprop"/>
    <x v="4"/>
    <n v="151"/>
    <n v="0.94889999999999997"/>
    <n v="0.71860000000000002"/>
    <n v="1.6898"/>
    <n v="0.55349999999999999"/>
  </r>
  <r>
    <x v="0"/>
    <n v="0.5"/>
    <n v="64"/>
    <b v="0"/>
    <s v="OFF"/>
    <s v="rmsprop"/>
    <x v="0"/>
    <n v="48"/>
    <n v="1.0358000000000001"/>
    <n v="0.69750000000000001"/>
    <n v="1.7296"/>
    <n v="0.55349999999999999"/>
  </r>
  <r>
    <x v="0"/>
    <n v="0.3"/>
    <n v="256"/>
    <b v="0"/>
    <s v="ON"/>
    <s v="rmsprop"/>
    <x v="0"/>
    <n v="149"/>
    <n v="1.2101999999999999"/>
    <n v="0.63739999999999997"/>
    <n v="1.6997"/>
    <n v="0.55249999999999999"/>
  </r>
  <r>
    <x v="0"/>
    <n v="0.3"/>
    <n v="128"/>
    <b v="0"/>
    <s v="ON"/>
    <s v="rmsprop"/>
    <x v="4"/>
    <n v="70"/>
    <n v="1.0637000000000001"/>
    <n v="0.68479999999999996"/>
    <n v="1.7354000000000001"/>
    <n v="0.55149999999999999"/>
  </r>
  <r>
    <x v="0"/>
    <n v="0.3"/>
    <n v="256"/>
    <b v="0"/>
    <s v="OFF"/>
    <s v="rmsprop"/>
    <x v="3"/>
    <n v="141"/>
    <n v="0.83320000000000005"/>
    <n v="0.75060000000000004"/>
    <n v="1.7496"/>
    <n v="0.55100000000000005"/>
  </r>
  <r>
    <x v="0"/>
    <n v="0.3"/>
    <n v="256"/>
    <b v="0"/>
    <s v="OFF"/>
    <s v="rmsprop"/>
    <x v="4"/>
    <n v="145"/>
    <n v="0.75900000000000001"/>
    <n v="0.77410000000000001"/>
    <n v="1.7276"/>
    <n v="0.55100000000000005"/>
  </r>
  <r>
    <x v="0"/>
    <n v="0.3"/>
    <n v="256"/>
    <b v="0"/>
    <s v="ON"/>
    <s v="rmsprop"/>
    <x v="3"/>
    <n v="150"/>
    <n v="1.1345000000000001"/>
    <n v="0.6623"/>
    <n v="1.6973"/>
    <n v="0.55049999999999999"/>
  </r>
  <r>
    <x v="0"/>
    <n v="0.5"/>
    <n v="128"/>
    <b v="0"/>
    <s v="OFF"/>
    <s v="rmsprop"/>
    <x v="2"/>
    <n v="74"/>
    <n v="1.0992999999999999"/>
    <n v="0.67569999999999997"/>
    <n v="1.7084999999999999"/>
    <n v="0.55000000000000004"/>
  </r>
  <r>
    <x v="0"/>
    <n v="0.1"/>
    <n v="64"/>
    <b v="0"/>
    <s v="OFF"/>
    <s v="rmsprop"/>
    <x v="2"/>
    <n v="47"/>
    <n v="0.8589"/>
    <n v="0.753"/>
    <n v="1.7806999999999999"/>
    <n v="0.54949999999999999"/>
  </r>
  <r>
    <x v="0"/>
    <n v="0.3"/>
    <n v="256"/>
    <b v="0"/>
    <s v="ON"/>
    <s v="rmsprop"/>
    <x v="1"/>
    <n v="150"/>
    <n v="1.0142"/>
    <n v="0.69699999999999995"/>
    <n v="1.7495000000000001"/>
    <n v="0.54949999999999999"/>
  </r>
  <r>
    <x v="0"/>
    <n v="0.1"/>
    <n v="256"/>
    <b v="0"/>
    <s v="OFF"/>
    <s v="rmsprop"/>
    <x v="4"/>
    <n v="141"/>
    <n v="0.71250000000000002"/>
    <n v="0.79059999999999997"/>
    <n v="1.7587999999999999"/>
    <n v="0.54949999999999999"/>
  </r>
  <r>
    <x v="0"/>
    <n v="0.5"/>
    <n v="128"/>
    <b v="0"/>
    <s v="OFF"/>
    <s v="rmsprop"/>
    <x v="1"/>
    <n v="74"/>
    <n v="0.84350000000000003"/>
    <n v="0.75039999999999996"/>
    <n v="1.6895"/>
    <n v="0.54900000000000004"/>
  </r>
  <r>
    <x v="0"/>
    <n v="0.1"/>
    <n v="64"/>
    <b v="0"/>
    <s v="ON"/>
    <s v="rmsprop"/>
    <x v="4"/>
    <n v="41"/>
    <n v="1.0101"/>
    <n v="0.70960000000000001"/>
    <n v="1.7683"/>
    <n v="0.54800000000000004"/>
  </r>
  <r>
    <x v="0"/>
    <n v="0.1"/>
    <n v="128"/>
    <b v="0"/>
    <s v="OFF"/>
    <s v="rmsprop"/>
    <x v="4"/>
    <n v="81"/>
    <n v="0.63580000000000003"/>
    <n v="0.81640000000000001"/>
    <n v="1.8126"/>
    <n v="0.54800000000000004"/>
  </r>
  <r>
    <x v="0"/>
    <n v="0.3"/>
    <n v="64"/>
    <b v="0"/>
    <s v="OFF"/>
    <s v="rmsprop"/>
    <x v="2"/>
    <n v="41"/>
    <n v="0.97819999999999996"/>
    <n v="0.71650000000000003"/>
    <n v="1.7496"/>
    <n v="0.54800000000000004"/>
  </r>
  <r>
    <x v="0"/>
    <n v="0.5"/>
    <n v="256"/>
    <b v="0"/>
    <s v="OFF"/>
    <s v="adam"/>
    <x v="0"/>
    <n v="167"/>
    <n v="0.4446"/>
    <n v="0.87139999999999995"/>
    <n v="1.9645999999999999"/>
    <n v="0.54749999999999999"/>
  </r>
  <r>
    <x v="0"/>
    <n v="0.3"/>
    <n v="128"/>
    <b v="0"/>
    <s v="ON"/>
    <s v="rmsprop"/>
    <x v="3"/>
    <n v="70"/>
    <n v="1.1355"/>
    <n v="0.66659999999999997"/>
    <n v="1.6813"/>
    <n v="0.54749999999999999"/>
  </r>
  <r>
    <x v="0"/>
    <n v="0.3"/>
    <n v="256"/>
    <b v="0"/>
    <s v="ON"/>
    <s v="adam"/>
    <x v="0"/>
    <n v="159"/>
    <n v="0.34329999999999999"/>
    <n v="0.90010000000000001"/>
    <n v="2.0301"/>
    <n v="0.54700000000000004"/>
  </r>
  <r>
    <x v="0"/>
    <n v="0.1"/>
    <n v="64"/>
    <b v="0"/>
    <s v="ON"/>
    <s v="rmsprop"/>
    <x v="1"/>
    <n v="41"/>
    <n v="0.9345"/>
    <n v="0.72770000000000001"/>
    <n v="1.7784"/>
    <n v="0.54700000000000004"/>
  </r>
  <r>
    <x v="0"/>
    <n v="0.5"/>
    <n v="64"/>
    <b v="0"/>
    <s v="OFF"/>
    <s v="rmsprop"/>
    <x v="4"/>
    <n v="49"/>
    <n v="0.94140000000000001"/>
    <n v="0.7208"/>
    <n v="1.7186999999999999"/>
    <n v="0.54700000000000004"/>
  </r>
  <r>
    <x v="0"/>
    <n v="0.3"/>
    <n v="128"/>
    <b v="0"/>
    <s v="OFF"/>
    <s v="rmsprop"/>
    <x v="3"/>
    <n v="73"/>
    <n v="0.80010000000000003"/>
    <n v="0.76739999999999997"/>
    <n v="1.6688000000000001"/>
    <n v="0.54649999999999999"/>
  </r>
  <r>
    <x v="0"/>
    <n v="0.5"/>
    <n v="128"/>
    <b v="0"/>
    <s v="ON"/>
    <s v="rmsprop"/>
    <x v="3"/>
    <n v="76"/>
    <n v="1.2531000000000001"/>
    <n v="0.62260000000000004"/>
    <n v="1.7078"/>
    <n v="0.54649999999999999"/>
  </r>
  <r>
    <x v="0"/>
    <n v="0.5"/>
    <n v="256"/>
    <b v="0"/>
    <s v="ON"/>
    <s v="adam"/>
    <x v="0"/>
    <n v="170"/>
    <n v="0.50600000000000001"/>
    <n v="0.85160000000000002"/>
    <n v="1.8237000000000001"/>
    <n v="0.54600000000000004"/>
  </r>
  <r>
    <x v="0"/>
    <n v="0.3"/>
    <n v="64"/>
    <b v="0"/>
    <s v="ON"/>
    <s v="rmsprop"/>
    <x v="3"/>
    <n v="41"/>
    <n v="1.232"/>
    <n v="0.63049999999999995"/>
    <n v="1.7787999999999999"/>
    <n v="0.54600000000000004"/>
  </r>
  <r>
    <x v="0"/>
    <n v="0.3"/>
    <n v="128"/>
    <b v="0"/>
    <s v="OFF"/>
    <s v="rmsprop"/>
    <x v="4"/>
    <n v="74"/>
    <n v="0.7248"/>
    <n v="0.78690000000000004"/>
    <n v="1.6897"/>
    <n v="0.54600000000000004"/>
  </r>
  <r>
    <x v="0"/>
    <n v="0.1"/>
    <n v="256"/>
    <b v="0"/>
    <s v="ON"/>
    <s v="rmsprop"/>
    <x v="0"/>
    <n v="149"/>
    <n v="1.0915999999999999"/>
    <n v="0.67449999999999999"/>
    <n v="1.6832"/>
    <n v="0.54500000000000004"/>
  </r>
  <r>
    <x v="0"/>
    <n v="0.5"/>
    <n v="128"/>
    <b v="0"/>
    <s v="ON"/>
    <s v="adam"/>
    <x v="4"/>
    <n v="76"/>
    <n v="0.41160000000000002"/>
    <n v="0.87960000000000005"/>
    <n v="2.0587"/>
    <n v="0.54449999999999998"/>
  </r>
  <r>
    <x v="0"/>
    <n v="0.3"/>
    <n v="64"/>
    <b v="0"/>
    <s v="OFF"/>
    <s v="rmsprop"/>
    <x v="1"/>
    <n v="41"/>
    <n v="0.67530000000000001"/>
    <n v="0.80820000000000003"/>
    <n v="1.8427"/>
    <n v="0.54449999999999998"/>
  </r>
  <r>
    <x v="0"/>
    <n v="0.1"/>
    <n v="128"/>
    <b v="0"/>
    <s v="ON"/>
    <s v="rmsprop"/>
    <x v="4"/>
    <n v="73"/>
    <n v="0.90580000000000005"/>
    <n v="0.74009999999999998"/>
    <n v="1.7574000000000001"/>
    <n v="0.54400000000000004"/>
  </r>
  <r>
    <x v="0"/>
    <n v="0.1"/>
    <n v="256"/>
    <b v="0"/>
    <s v="ON"/>
    <s v="rmsprop"/>
    <x v="2"/>
    <n v="149"/>
    <n v="1.1805000000000001"/>
    <n v="0.64790000000000003"/>
    <n v="1.7206999999999999"/>
    <n v="0.54400000000000004"/>
  </r>
  <r>
    <x v="0"/>
    <n v="0.3"/>
    <n v="256"/>
    <b v="0"/>
    <s v="ON"/>
    <s v="rmsprop"/>
    <x v="4"/>
    <n v="154"/>
    <n v="1.0762"/>
    <n v="0.68359999999999999"/>
    <n v="1.6819"/>
    <n v="0.54400000000000004"/>
  </r>
  <r>
    <x v="0"/>
    <n v="0.1"/>
    <n v="256"/>
    <b v="0"/>
    <s v="ON"/>
    <s v="adam"/>
    <x v="2"/>
    <n v="165"/>
    <n v="0.3553"/>
    <n v="0.89810000000000001"/>
    <n v="2.0733000000000001"/>
    <n v="0.54300000000000004"/>
  </r>
  <r>
    <x v="0"/>
    <n v="0.5"/>
    <n v="64"/>
    <b v="0"/>
    <s v="OFF"/>
    <s v="adam"/>
    <x v="0"/>
    <n v="50"/>
    <n v="0.4108"/>
    <n v="0.88560000000000005"/>
    <n v="2.0758000000000001"/>
    <n v="0.54249999999999998"/>
  </r>
  <r>
    <x v="0"/>
    <n v="0.1"/>
    <n v="256"/>
    <b v="0"/>
    <s v="ON"/>
    <s v="rmsprop"/>
    <x v="1"/>
    <n v="150"/>
    <n v="0.89349999999999996"/>
    <n v="0.73709999999999998"/>
    <n v="1.7537"/>
    <n v="0.54249999999999998"/>
  </r>
  <r>
    <x v="0"/>
    <n v="0.5"/>
    <n v="256"/>
    <b v="0"/>
    <s v="OFF"/>
    <s v="rmsprop"/>
    <x v="5"/>
    <n v="141"/>
    <n v="1.2199"/>
    <n v="0.64100000000000001"/>
    <n v="1.6886000000000001"/>
    <n v="0.54249999999999998"/>
  </r>
  <r>
    <x v="0"/>
    <n v="0.3"/>
    <n v="256"/>
    <b v="0"/>
    <s v="OFF"/>
    <s v="adam"/>
    <x v="0"/>
    <n v="141"/>
    <n v="0.29499999999999998"/>
    <n v="0.91659999999999997"/>
    <n v="2.169"/>
    <n v="0.54200000000000004"/>
  </r>
  <r>
    <x v="0"/>
    <n v="0.3"/>
    <n v="64"/>
    <b v="0"/>
    <s v="OFF"/>
    <s v="rmsprop"/>
    <x v="3"/>
    <n v="41"/>
    <n v="0.82010000000000005"/>
    <n v="0.76390000000000002"/>
    <n v="1.7557"/>
    <n v="0.54200000000000004"/>
  </r>
  <r>
    <x v="0"/>
    <n v="0.3"/>
    <n v="128"/>
    <b v="0"/>
    <s v="OFF"/>
    <s v="rmsprop"/>
    <x v="1"/>
    <n v="73"/>
    <n v="0.67869999999999997"/>
    <n v="0.7974"/>
    <n v="1.7412000000000001"/>
    <n v="0.54149999999999998"/>
  </r>
  <r>
    <x v="0"/>
    <n v="0.3"/>
    <n v="256"/>
    <b v="0"/>
    <s v="OFF"/>
    <s v="rmsprop"/>
    <x v="2"/>
    <n v="143"/>
    <n v="0.97889999999999999"/>
    <n v="0.71160000000000001"/>
    <n v="1.7014"/>
    <n v="0.54149999999999998"/>
  </r>
  <r>
    <x v="0"/>
    <n v="0.5"/>
    <n v="128"/>
    <b v="0"/>
    <s v="ON"/>
    <s v="rmsprop"/>
    <x v="4"/>
    <n v="76"/>
    <n v="1.1873"/>
    <n v="0.64539999999999997"/>
    <n v="1.6889000000000001"/>
    <n v="0.54149999999999998"/>
  </r>
  <r>
    <x v="0"/>
    <n v="0.5"/>
    <n v="128"/>
    <b v="0"/>
    <s v="ON"/>
    <s v="adam"/>
    <x v="3"/>
    <n v="76"/>
    <n v="0.44400000000000001"/>
    <n v="0.874"/>
    <n v="2.0215999999999998"/>
    <n v="0.54100000000000004"/>
  </r>
  <r>
    <x v="0"/>
    <n v="0.5"/>
    <n v="256"/>
    <b v="0"/>
    <s v="ON"/>
    <s v="rmsprop"/>
    <x v="4"/>
    <n v="173"/>
    <n v="1.1756"/>
    <n v="0.65"/>
    <n v="1.7112000000000001"/>
    <n v="0.54100000000000004"/>
  </r>
  <r>
    <x v="0"/>
    <n v="0.3"/>
    <n v="128"/>
    <b v="0"/>
    <s v="OFF"/>
    <s v="adam"/>
    <x v="3"/>
    <n v="74"/>
    <n v="0.26869999999999999"/>
    <n v="0.92330000000000001"/>
    <n v="2.2252999999999998"/>
    <n v="0.54049999999999998"/>
  </r>
  <r>
    <x v="0"/>
    <n v="0.5"/>
    <n v="64"/>
    <b v="0"/>
    <s v="ON"/>
    <s v="rmsprop"/>
    <x v="1"/>
    <n v="41"/>
    <n v="1.2191000000000001"/>
    <n v="0.63749999999999996"/>
    <n v="1.7262"/>
    <n v="0.54049999999999998"/>
  </r>
  <r>
    <x v="0"/>
    <n v="0.5"/>
    <n v="256"/>
    <b v="0"/>
    <s v="OFF"/>
    <s v="adam"/>
    <x v="1"/>
    <n v="142"/>
    <n v="0.30719999999999997"/>
    <n v="0.91049999999999998"/>
    <n v="2.0409999999999999"/>
    <n v="0.54"/>
  </r>
  <r>
    <x v="0"/>
    <n v="0.5"/>
    <n v="64"/>
    <b v="0"/>
    <s v="OFF"/>
    <s v="adam"/>
    <x v="3"/>
    <n v="51"/>
    <n v="0.36099999999999999"/>
    <n v="0.89739999999999998"/>
    <n v="2.1248"/>
    <n v="0.53949999999999998"/>
  </r>
  <r>
    <x v="0"/>
    <n v="0.5"/>
    <n v="256"/>
    <b v="0"/>
    <s v="OFF"/>
    <s v="rmsprop"/>
    <x v="3"/>
    <n v="139"/>
    <n v="1.0162"/>
    <n v="0.70199999999999996"/>
    <n v="1.7031000000000001"/>
    <n v="0.53949999999999998"/>
  </r>
  <r>
    <x v="0"/>
    <n v="0.5"/>
    <n v="256"/>
    <b v="0"/>
    <s v="ON"/>
    <s v="rmsprop"/>
    <x v="2"/>
    <n v="174"/>
    <n v="1.3842000000000001"/>
    <n v="0.58340000000000003"/>
    <n v="1.7192000000000001"/>
    <n v="0.53949999999999998"/>
  </r>
  <r>
    <x v="0"/>
    <n v="0.5"/>
    <n v="128"/>
    <b v="0"/>
    <s v="ON"/>
    <s v="adam"/>
    <x v="1"/>
    <n v="76"/>
    <n v="0.38040000000000002"/>
    <n v="0.88959999999999995"/>
    <n v="2.08"/>
    <n v="0.53900000000000003"/>
  </r>
  <r>
    <x v="0"/>
    <n v="0.1"/>
    <n v="64"/>
    <b v="0"/>
    <s v="ON"/>
    <s v="rmsprop"/>
    <x v="0"/>
    <n v="42"/>
    <n v="1.1747000000000001"/>
    <n v="0.66239999999999999"/>
    <n v="1.7428999999999999"/>
    <n v="0.53900000000000003"/>
  </r>
  <r>
    <x v="0"/>
    <n v="0.3"/>
    <n v="128"/>
    <b v="0"/>
    <s v="ON"/>
    <s v="rmsprop"/>
    <x v="0"/>
    <n v="70"/>
    <n v="1.2178"/>
    <n v="0.63819999999999999"/>
    <n v="1.7279"/>
    <n v="0.53900000000000003"/>
  </r>
  <r>
    <x v="0"/>
    <n v="0.5"/>
    <n v="256"/>
    <b v="0"/>
    <s v="OFF"/>
    <s v="rmsprop"/>
    <x v="0"/>
    <n v="139"/>
    <n v="1.0711999999999999"/>
    <n v="0.67810000000000004"/>
    <n v="1.6083000000000001"/>
    <n v="0.53900000000000003"/>
  </r>
  <r>
    <x v="0"/>
    <n v="0.3"/>
    <n v="256"/>
    <b v="0"/>
    <s v="ON"/>
    <s v="adam"/>
    <x v="5"/>
    <n v="147"/>
    <n v="0.46150000000000002"/>
    <n v="0.86699999999999999"/>
    <n v="1.982"/>
    <n v="0.53800000000000003"/>
  </r>
  <r>
    <x v="0"/>
    <n v="0.1"/>
    <n v="256"/>
    <b v="0"/>
    <s v="OFF"/>
    <s v="rmsprop"/>
    <x v="3"/>
    <n v="142"/>
    <n v="0.76400000000000001"/>
    <n v="0.77210000000000001"/>
    <n v="1.7421"/>
    <n v="0.53800000000000003"/>
  </r>
  <r>
    <x v="0"/>
    <n v="0.3"/>
    <n v="64"/>
    <b v="0"/>
    <s v="ON"/>
    <s v="rmsprop"/>
    <x v="0"/>
    <n v="42"/>
    <n v="1.3197000000000001"/>
    <n v="0.60550000000000004"/>
    <n v="1.7235"/>
    <n v="0.53800000000000003"/>
  </r>
  <r>
    <x v="0"/>
    <n v="0.1"/>
    <n v="64"/>
    <b v="0"/>
    <s v="OFF"/>
    <s v="adam"/>
    <x v="3"/>
    <n v="49"/>
    <n v="0.2379"/>
    <n v="0.93659999999999999"/>
    <n v="2.3650000000000002"/>
    <n v="0.53749999999999998"/>
  </r>
  <r>
    <x v="0"/>
    <n v="0.3"/>
    <n v="256"/>
    <b v="0"/>
    <s v="ON"/>
    <s v="adam"/>
    <x v="1"/>
    <n v="143"/>
    <n v="0.25559999999999999"/>
    <n v="0.92630000000000001"/>
    <n v="2.2025000000000001"/>
    <n v="0.53749999999999998"/>
  </r>
  <r>
    <x v="0"/>
    <n v="0.1"/>
    <n v="64"/>
    <b v="0"/>
    <s v="OFF"/>
    <s v="rmsprop"/>
    <x v="1"/>
    <n v="48"/>
    <n v="0.59470000000000001"/>
    <n v="0.82709999999999995"/>
    <n v="1.9540999999999999"/>
    <n v="0.53749999999999998"/>
  </r>
  <r>
    <x v="0"/>
    <n v="0.5"/>
    <n v="256"/>
    <b v="0"/>
    <s v="ON"/>
    <s v="rmsprop"/>
    <x v="0"/>
    <n v="174"/>
    <n v="1.3079000000000001"/>
    <n v="0.60460000000000003"/>
    <n v="1.7229000000000001"/>
    <n v="0.53749999999999998"/>
  </r>
  <r>
    <x v="0"/>
    <n v="0.1"/>
    <n v="128"/>
    <b v="0"/>
    <s v="ON"/>
    <s v="adam"/>
    <x v="2"/>
    <n v="92"/>
    <n v="0.35680000000000001"/>
    <n v="0.89839999999999998"/>
    <n v="2.1859000000000002"/>
    <n v="0.53700000000000003"/>
  </r>
  <r>
    <x v="0"/>
    <n v="0.3"/>
    <n v="64"/>
    <b v="0"/>
    <s v="OFF"/>
    <s v="rmsprop"/>
    <x v="0"/>
    <n v="41"/>
    <n v="0.87180000000000002"/>
    <n v="0.75260000000000005"/>
    <n v="1.7641"/>
    <n v="0.53700000000000003"/>
  </r>
  <r>
    <x v="0"/>
    <n v="0.5"/>
    <n v="128"/>
    <b v="0"/>
    <s v="ON"/>
    <s v="rmsprop"/>
    <x v="0"/>
    <n v="75"/>
    <n v="1.3309"/>
    <n v="0.60360000000000003"/>
    <n v="1.7232000000000001"/>
    <n v="0.53700000000000003"/>
  </r>
  <r>
    <x v="0"/>
    <n v="0.5"/>
    <n v="128"/>
    <b v="0"/>
    <s v="ON"/>
    <s v="adam"/>
    <x v="2"/>
    <n v="76"/>
    <n v="0.55820000000000003"/>
    <n v="0.83919999999999995"/>
    <n v="1.9345000000000001"/>
    <n v="0.53600000000000003"/>
  </r>
  <r>
    <x v="0"/>
    <n v="0.3"/>
    <n v="128"/>
    <b v="0"/>
    <s v="ON"/>
    <s v="adam"/>
    <x v="0"/>
    <n v="74"/>
    <n v="0.39750000000000002"/>
    <n v="0.8881"/>
    <n v="2.177"/>
    <n v="0.53600000000000003"/>
  </r>
  <r>
    <x v="0"/>
    <n v="0.5"/>
    <n v="256"/>
    <b v="0"/>
    <s v="ON"/>
    <s v="adam"/>
    <x v="4"/>
    <n v="145"/>
    <n v="0.40160000000000001"/>
    <n v="0.88100000000000001"/>
    <n v="1.9785999999999999"/>
    <n v="0.53600000000000003"/>
  </r>
  <r>
    <x v="0"/>
    <n v="0.1"/>
    <n v="256"/>
    <b v="0"/>
    <s v="OFF"/>
    <s v="rmsprop"/>
    <x v="1"/>
    <n v="144"/>
    <n v="0.63929999999999998"/>
    <n v="0.81169999999999998"/>
    <n v="1.8831"/>
    <n v="0.53600000000000003"/>
  </r>
  <r>
    <x v="0"/>
    <n v="0.3"/>
    <n v="256"/>
    <b v="0"/>
    <s v="OFF"/>
    <s v="rmsprop"/>
    <x v="5"/>
    <n v="140"/>
    <n v="1.0765"/>
    <n v="0.67849999999999999"/>
    <n v="1.6840999999999999"/>
    <n v="0.53600000000000003"/>
  </r>
  <r>
    <x v="0"/>
    <n v="0.5"/>
    <n v="128"/>
    <b v="0"/>
    <s v="OFF"/>
    <s v="rmsprop"/>
    <x v="5"/>
    <n v="74"/>
    <n v="1.1755"/>
    <n v="0.65759999999999996"/>
    <n v="1.6766000000000001"/>
    <n v="0.53500000000000003"/>
  </r>
  <r>
    <x v="0"/>
    <n v="0.1"/>
    <n v="128"/>
    <b v="0"/>
    <s v="ON"/>
    <s v="adam"/>
    <x v="5"/>
    <n v="91"/>
    <n v="0.39950000000000002"/>
    <n v="0.8921"/>
    <n v="2.1916000000000002"/>
    <n v="0.53400000000000003"/>
  </r>
  <r>
    <x v="0"/>
    <n v="0.1"/>
    <n v="256"/>
    <b v="0"/>
    <s v="ON"/>
    <s v="adam"/>
    <x v="5"/>
    <n v="151"/>
    <n v="0.39079999999999998"/>
    <n v="0.89059999999999995"/>
    <n v="2.0423"/>
    <n v="0.53400000000000003"/>
  </r>
  <r>
    <x v="0"/>
    <n v="0.3"/>
    <n v="128"/>
    <b v="0"/>
    <s v="OFF"/>
    <s v="adam"/>
    <x v="4"/>
    <n v="74"/>
    <n v="0.25059999999999999"/>
    <n v="0.93130000000000002"/>
    <n v="2.2444999999999999"/>
    <n v="0.53400000000000003"/>
  </r>
  <r>
    <x v="0"/>
    <n v="0.1"/>
    <n v="128"/>
    <b v="0"/>
    <s v="OFF"/>
    <s v="rmsprop"/>
    <x v="2"/>
    <n v="72"/>
    <n v="0.8347"/>
    <n v="0.75800000000000001"/>
    <n v="1.8519000000000001"/>
    <n v="0.53400000000000003"/>
  </r>
  <r>
    <x v="0"/>
    <n v="0.3"/>
    <n v="64"/>
    <b v="0"/>
    <s v="OFF"/>
    <s v="rmsprop"/>
    <x v="4"/>
    <n v="41"/>
    <n v="0.75680000000000003"/>
    <n v="0.78810000000000002"/>
    <n v="1.8107"/>
    <n v="0.53400000000000003"/>
  </r>
  <r>
    <x v="0"/>
    <n v="0.5"/>
    <n v="256"/>
    <b v="0"/>
    <s v="OFF"/>
    <s v="adam"/>
    <x v="5"/>
    <n v="142"/>
    <n v="0.50839999999999996"/>
    <n v="0.84909999999999997"/>
    <n v="1.8971"/>
    <n v="0.53349999999999997"/>
  </r>
  <r>
    <x v="0"/>
    <n v="0.3"/>
    <n v="64"/>
    <b v="0"/>
    <s v="ON"/>
    <s v="adam"/>
    <x v="2"/>
    <n v="42"/>
    <n v="0.45729999999999998"/>
    <n v="0.87409999999999999"/>
    <n v="2.1555"/>
    <n v="0.53349999999999997"/>
  </r>
  <r>
    <x v="0"/>
    <n v="0.1"/>
    <n v="128"/>
    <b v="0"/>
    <s v="OFF"/>
    <s v="rmsprop"/>
    <x v="3"/>
    <n v="72"/>
    <n v="0.69140000000000001"/>
    <n v="0.79649999999999999"/>
    <n v="1.8740000000000001"/>
    <n v="0.53349999999999997"/>
  </r>
  <r>
    <x v="0"/>
    <n v="0.1"/>
    <n v="128"/>
    <b v="0"/>
    <s v="ON"/>
    <s v="rmsprop"/>
    <x v="3"/>
    <n v="73"/>
    <n v="1.0042"/>
    <n v="0.70699999999999996"/>
    <n v="1.7771999999999999"/>
    <n v="0.53349999999999997"/>
  </r>
  <r>
    <x v="0"/>
    <n v="0.1"/>
    <n v="128"/>
    <b v="0"/>
    <s v="OFF"/>
    <s v="rmsprop"/>
    <x v="1"/>
    <n v="85"/>
    <n v="0.58179999999999998"/>
    <n v="0.82899999999999996"/>
    <n v="1.9096"/>
    <n v="0.53349999999999997"/>
  </r>
  <r>
    <x v="0"/>
    <n v="0.1"/>
    <n v="64"/>
    <b v="0"/>
    <s v="ON"/>
    <s v="rmsprop"/>
    <x v="3"/>
    <n v="42"/>
    <n v="1.0543"/>
    <n v="0.69140000000000001"/>
    <n v="1.8412999999999999"/>
    <n v="0.53300000000000003"/>
  </r>
  <r>
    <x v="0"/>
    <n v="0.1"/>
    <n v="128"/>
    <b v="0"/>
    <s v="ON"/>
    <s v="adam"/>
    <x v="4"/>
    <n v="93"/>
    <n v="0.23300000000000001"/>
    <n v="0.93369999999999997"/>
    <n v="2.4651999999999998"/>
    <n v="0.53249999999999997"/>
  </r>
  <r>
    <x v="0"/>
    <n v="0.3"/>
    <n v="128"/>
    <b v="0"/>
    <s v="OFF"/>
    <s v="rmsprop"/>
    <x v="5"/>
    <n v="73"/>
    <n v="1.0303"/>
    <n v="0.69020000000000004"/>
    <n v="1.6900999999999999"/>
    <n v="0.53249999999999997"/>
  </r>
  <r>
    <x v="0"/>
    <n v="0.1"/>
    <n v="128"/>
    <b v="0"/>
    <s v="ON"/>
    <s v="adam"/>
    <x v="3"/>
    <n v="93"/>
    <n v="0.27379999999999999"/>
    <n v="0.92159999999999997"/>
    <n v="2.3361000000000001"/>
    <n v="0.53200000000000003"/>
  </r>
  <r>
    <x v="0"/>
    <n v="0.3"/>
    <n v="256"/>
    <b v="0"/>
    <s v="ON"/>
    <s v="adam"/>
    <x v="2"/>
    <n v="163"/>
    <n v="0.39369999999999999"/>
    <n v="0.88480000000000003"/>
    <n v="1.9545999999999999"/>
    <n v="0.53149999999999997"/>
  </r>
  <r>
    <x v="0"/>
    <n v="0.1"/>
    <n v="256"/>
    <b v="0"/>
    <s v="OFF"/>
    <s v="rmsprop"/>
    <x v="2"/>
    <n v="140"/>
    <n v="0.93959999999999999"/>
    <n v="0.72199999999999998"/>
    <n v="1.6862999999999999"/>
    <n v="0.53149999999999997"/>
  </r>
  <r>
    <x v="0"/>
    <n v="0.1"/>
    <n v="64"/>
    <b v="0"/>
    <s v="OFF"/>
    <s v="rmsprop"/>
    <x v="3"/>
    <n v="48"/>
    <n v="0.71419999999999995"/>
    <n v="0.79469999999999996"/>
    <n v="1.8481000000000001"/>
    <n v="0.53100000000000003"/>
  </r>
  <r>
    <x v="0"/>
    <n v="0.3"/>
    <n v="256"/>
    <b v="0"/>
    <s v="OFF"/>
    <s v="adam"/>
    <x v="3"/>
    <n v="141"/>
    <n v="0.2732"/>
    <n v="0.9194"/>
    <n v="2.1680000000000001"/>
    <n v="0.53100000000000003"/>
  </r>
  <r>
    <x v="0"/>
    <n v="0.5"/>
    <n v="256"/>
    <b v="0"/>
    <s v="ON"/>
    <s v="adam"/>
    <x v="3"/>
    <n v="169"/>
    <n v="0.45850000000000002"/>
    <n v="0.86550000000000005"/>
    <n v="1.9105000000000001"/>
    <n v="0.53100000000000003"/>
  </r>
  <r>
    <x v="0"/>
    <n v="0.1"/>
    <n v="64"/>
    <b v="0"/>
    <s v="ON"/>
    <s v="adam"/>
    <x v="4"/>
    <n v="42"/>
    <n v="0.22550000000000001"/>
    <n v="0.94059999999999999"/>
    <n v="2.4098000000000002"/>
    <n v="0.53100000000000003"/>
  </r>
  <r>
    <x v="0"/>
    <n v="0.3"/>
    <n v="256"/>
    <b v="0"/>
    <s v="OFF"/>
    <s v="adam"/>
    <x v="1"/>
    <n v="142"/>
    <n v="0.23250000000000001"/>
    <n v="0.93359999999999999"/>
    <n v="2.3148"/>
    <n v="0.53100000000000003"/>
  </r>
  <r>
    <x v="0"/>
    <n v="0.1"/>
    <n v="128"/>
    <b v="0"/>
    <s v="ON"/>
    <s v="rmsprop"/>
    <x v="0"/>
    <n v="73"/>
    <n v="1.0943000000000001"/>
    <n v="0.6794"/>
    <n v="1.7677"/>
    <n v="0.53100000000000003"/>
  </r>
  <r>
    <x v="0"/>
    <n v="0.5"/>
    <n v="64"/>
    <b v="0"/>
    <s v="ON"/>
    <s v="adam"/>
    <x v="0"/>
    <n v="50"/>
    <n v="0.54659999999999997"/>
    <n v="0.8417"/>
    <n v="2.1467999999999998"/>
    <n v="0.53049999999999997"/>
  </r>
  <r>
    <x v="0"/>
    <n v="0.1"/>
    <n v="128"/>
    <b v="0"/>
    <s v="ON"/>
    <s v="adam"/>
    <x v="1"/>
    <n v="93"/>
    <n v="0.21560000000000001"/>
    <n v="0.94359999999999999"/>
    <n v="2.4910999999999999"/>
    <n v="0.53049999999999997"/>
  </r>
  <r>
    <x v="0"/>
    <n v="0.1"/>
    <n v="128"/>
    <b v="0"/>
    <s v="ON"/>
    <s v="adam"/>
    <x v="0"/>
    <n v="93"/>
    <n v="0.3105"/>
    <n v="0.9143"/>
    <n v="2.2972000000000001"/>
    <n v="0.53"/>
  </r>
  <r>
    <x v="0"/>
    <n v="0.3"/>
    <n v="64"/>
    <b v="0"/>
    <s v="ON"/>
    <s v="adam"/>
    <x v="1"/>
    <n v="43"/>
    <n v="0.28620000000000001"/>
    <n v="0.92549999999999999"/>
    <n v="2.3481000000000001"/>
    <n v="0.53"/>
  </r>
  <r>
    <x v="0"/>
    <n v="0.1"/>
    <n v="256"/>
    <b v="0"/>
    <s v="ON"/>
    <s v="adam"/>
    <x v="0"/>
    <n v="165"/>
    <n v="0.29320000000000002"/>
    <n v="0.91610000000000003"/>
    <n v="2.2023000000000001"/>
    <n v="0.52949999999999997"/>
  </r>
  <r>
    <x v="0"/>
    <n v="0.5"/>
    <n v="64"/>
    <b v="0"/>
    <s v="ON"/>
    <s v="adam"/>
    <x v="3"/>
    <n v="51"/>
    <n v="0.47049999999999997"/>
    <n v="0.86760000000000004"/>
    <n v="2.1943000000000001"/>
    <n v="0.52949999999999997"/>
  </r>
  <r>
    <x v="0"/>
    <n v="0.1"/>
    <n v="256"/>
    <b v="0"/>
    <s v="OFF"/>
    <s v="rmsprop"/>
    <x v="0"/>
    <n v="142"/>
    <n v="0.87250000000000005"/>
    <n v="0.74590000000000001"/>
    <n v="1.7426999999999999"/>
    <n v="0.52949999999999997"/>
  </r>
  <r>
    <x v="0"/>
    <n v="0.5"/>
    <n v="256"/>
    <b v="0"/>
    <s v="ON"/>
    <s v="adam"/>
    <x v="2"/>
    <n v="171"/>
    <n v="0.57240000000000002"/>
    <n v="0.83289999999999997"/>
    <n v="1.9710000000000001"/>
    <n v="0.52900000000000003"/>
  </r>
  <r>
    <x v="0"/>
    <n v="0.5"/>
    <n v="64"/>
    <b v="0"/>
    <s v="OFF"/>
    <s v="adam"/>
    <x v="5"/>
    <n v="51"/>
    <n v="0.51139999999999997"/>
    <n v="0.85529999999999995"/>
    <n v="2.0245000000000002"/>
    <n v="0.52849999999999997"/>
  </r>
  <r>
    <x v="0"/>
    <n v="0.3"/>
    <n v="128"/>
    <b v="0"/>
    <s v="ON"/>
    <s v="adam"/>
    <x v="4"/>
    <n v="72"/>
    <n v="0.31869999999999998"/>
    <n v="0.9103"/>
    <n v="2.2465000000000002"/>
    <n v="0.52849999999999997"/>
  </r>
  <r>
    <x v="0"/>
    <n v="0.1"/>
    <n v="256"/>
    <b v="0"/>
    <s v="OFF"/>
    <s v="adam"/>
    <x v="2"/>
    <n v="137"/>
    <n v="0.2515"/>
    <n v="0.92659999999999998"/>
    <n v="2.3170999999999999"/>
    <n v="0.52800000000000002"/>
  </r>
  <r>
    <x v="0"/>
    <n v="0.5"/>
    <n v="256"/>
    <b v="0"/>
    <s v="OFF"/>
    <s v="adam"/>
    <x v="4"/>
    <n v="142"/>
    <n v="0.31309999999999999"/>
    <n v="0.9103"/>
    <n v="2.0794999999999999"/>
    <n v="0.52800000000000002"/>
  </r>
  <r>
    <x v="0"/>
    <n v="0.1"/>
    <n v="128"/>
    <b v="0"/>
    <s v="ON"/>
    <s v="rmsprop"/>
    <x v="5"/>
    <n v="79"/>
    <n v="1.2744"/>
    <n v="0.62360000000000004"/>
    <n v="1.7827"/>
    <n v="0.52749999999999997"/>
  </r>
  <r>
    <x v="0"/>
    <n v="0.3"/>
    <n v="64"/>
    <b v="0"/>
    <s v="ON"/>
    <s v="adam"/>
    <x v="5"/>
    <n v="42"/>
    <n v="0.52669999999999995"/>
    <n v="0.85599999999999998"/>
    <n v="2.0869"/>
    <n v="0.52749999999999997"/>
  </r>
  <r>
    <x v="0"/>
    <n v="0.3"/>
    <n v="64"/>
    <b v="0"/>
    <s v="ON"/>
    <s v="adam"/>
    <x v="0"/>
    <n v="42"/>
    <n v="0.4012"/>
    <n v="0.89200000000000002"/>
    <n v="2.2633999999999999"/>
    <n v="0.52749999999999997"/>
  </r>
  <r>
    <x v="0"/>
    <n v="0.1"/>
    <n v="64"/>
    <b v="0"/>
    <s v="ON"/>
    <s v="adam"/>
    <x v="3"/>
    <n v="42"/>
    <n v="0.253"/>
    <n v="0.93310000000000004"/>
    <n v="2.4039000000000001"/>
    <n v="0.52749999999999997"/>
  </r>
  <r>
    <x v="0"/>
    <n v="0.5"/>
    <n v="128"/>
    <b v="0"/>
    <s v="OFF"/>
    <s v="adam"/>
    <x v="3"/>
    <n v="74"/>
    <n v="0.3392"/>
    <n v="0.89959999999999996"/>
    <n v="2.0905"/>
    <n v="0.52749999999999997"/>
  </r>
  <r>
    <x v="0"/>
    <n v="0.5"/>
    <n v="128"/>
    <b v="0"/>
    <s v="ON"/>
    <s v="adam"/>
    <x v="0"/>
    <n v="76"/>
    <n v="0.53220000000000001"/>
    <n v="0.84799999999999998"/>
    <n v="2.0154000000000001"/>
    <n v="0.52700000000000002"/>
  </r>
  <r>
    <x v="0"/>
    <n v="0.5"/>
    <n v="256"/>
    <b v="0"/>
    <s v="OFF"/>
    <s v="adam"/>
    <x v="3"/>
    <n v="167"/>
    <n v="0.37819999999999998"/>
    <n v="0.88690000000000002"/>
    <n v="1.9971000000000001"/>
    <n v="0.52700000000000002"/>
  </r>
  <r>
    <x v="0"/>
    <n v="0.5"/>
    <n v="64"/>
    <b v="0"/>
    <s v="OFF"/>
    <s v="adam"/>
    <x v="4"/>
    <n v="49"/>
    <n v="0.31850000000000001"/>
    <n v="0.91200000000000003"/>
    <n v="2.2063000000000001"/>
    <n v="0.52700000000000002"/>
  </r>
  <r>
    <x v="0"/>
    <n v="0.5"/>
    <n v="256"/>
    <b v="0"/>
    <s v="OFF"/>
    <s v="rmsprop"/>
    <x v="2"/>
    <n v="140"/>
    <n v="1.1359999999999999"/>
    <n v="0.66259999999999997"/>
    <n v="1.6869000000000001"/>
    <n v="0.52700000000000002"/>
  </r>
  <r>
    <x v="0"/>
    <n v="0.1"/>
    <n v="64"/>
    <b v="0"/>
    <s v="OFF"/>
    <s v="rmsprop"/>
    <x v="0"/>
    <n v="48"/>
    <n v="0.78910000000000002"/>
    <n v="0.77339999999999998"/>
    <n v="1.8193999999999999"/>
    <n v="0.52649999999999997"/>
  </r>
  <r>
    <x v="0"/>
    <n v="0.5"/>
    <n v="128"/>
    <b v="0"/>
    <s v="ON"/>
    <s v="adam"/>
    <x v="5"/>
    <n v="76"/>
    <n v="0.63839999999999997"/>
    <n v="0.81710000000000005"/>
    <n v="1.9360999999999999"/>
    <n v="0.52649999999999997"/>
  </r>
  <r>
    <x v="0"/>
    <n v="0.1"/>
    <n v="128"/>
    <b v="0"/>
    <s v="OFF"/>
    <s v="adam"/>
    <x v="0"/>
    <n v="73"/>
    <n v="0.22439999999999999"/>
    <n v="0.93600000000000005"/>
    <n v="2.3662000000000001"/>
    <n v="0.52649999999999997"/>
  </r>
  <r>
    <x v="0"/>
    <n v="0.3"/>
    <n v="64"/>
    <b v="0"/>
    <s v="OFF"/>
    <s v="adam"/>
    <x v="0"/>
    <n v="42"/>
    <n v="0.30620000000000003"/>
    <n v="0.91759999999999997"/>
    <n v="2.3365999999999998"/>
    <n v="0.52649999999999997"/>
  </r>
  <r>
    <x v="0"/>
    <n v="0.5"/>
    <n v="64"/>
    <b v="0"/>
    <s v="ON"/>
    <s v="adam"/>
    <x v="1"/>
    <n v="51"/>
    <n v="0.40029999999999999"/>
    <n v="0.88849999999999996"/>
    <n v="2.3140000000000001"/>
    <n v="0.52649999999999997"/>
  </r>
  <r>
    <x v="0"/>
    <n v="0.5"/>
    <n v="64"/>
    <b v="0"/>
    <s v="OFF"/>
    <s v="rmsprop"/>
    <x v="5"/>
    <n v="48"/>
    <n v="1.1737"/>
    <n v="0.65290000000000004"/>
    <n v="1.8018000000000001"/>
    <n v="0.52600000000000002"/>
  </r>
  <r>
    <x v="0"/>
    <n v="0.5"/>
    <n v="256"/>
    <b v="0"/>
    <s v="ON"/>
    <s v="rmsprop"/>
    <x v="3"/>
    <n v="173"/>
    <n v="1.2394000000000001"/>
    <n v="0.63300000000000001"/>
    <n v="1.7694000000000001"/>
    <n v="0.52600000000000002"/>
  </r>
  <r>
    <x v="0"/>
    <n v="0.1"/>
    <n v="64"/>
    <b v="0"/>
    <s v="OFF"/>
    <s v="adam"/>
    <x v="2"/>
    <n v="50"/>
    <n v="0.28239999999999998"/>
    <n v="0.92390000000000005"/>
    <n v="2.3367"/>
    <n v="0.52549999999999997"/>
  </r>
  <r>
    <x v="0"/>
    <n v="0.3"/>
    <n v="128"/>
    <b v="0"/>
    <s v="OFF"/>
    <s v="adam"/>
    <x v="2"/>
    <n v="74"/>
    <n v="0.34029999999999999"/>
    <n v="0.90139999999999998"/>
    <n v="2.1183999999999998"/>
    <n v="0.52500000000000002"/>
  </r>
  <r>
    <x v="0"/>
    <n v="0.3"/>
    <n v="128"/>
    <b v="0"/>
    <s v="ON"/>
    <s v="rmsprop"/>
    <x v="5"/>
    <n v="70"/>
    <n v="1.4016999999999999"/>
    <n v="0.56540000000000001"/>
    <n v="1.7690999999999999"/>
    <n v="0.52500000000000002"/>
  </r>
  <r>
    <x v="0"/>
    <n v="0.3"/>
    <n v="128"/>
    <b v="0"/>
    <s v="OFF"/>
    <s v="adam"/>
    <x v="5"/>
    <n v="74"/>
    <n v="0.37480000000000002"/>
    <n v="0.89390000000000003"/>
    <n v="2.0472999999999999"/>
    <n v="0.52449999999999997"/>
  </r>
  <r>
    <x v="0"/>
    <n v="0.1"/>
    <n v="64"/>
    <b v="0"/>
    <s v="ON"/>
    <s v="adam"/>
    <x v="0"/>
    <n v="42"/>
    <n v="0.29199999999999998"/>
    <n v="0.91930000000000001"/>
    <n v="2.2812000000000001"/>
    <n v="0.52449999999999997"/>
  </r>
  <r>
    <x v="0"/>
    <n v="0.3"/>
    <n v="128"/>
    <b v="0"/>
    <s v="ON"/>
    <s v="adam"/>
    <x v="2"/>
    <n v="75"/>
    <n v="0.44819999999999999"/>
    <n v="0.87309999999999999"/>
    <n v="2.0556000000000001"/>
    <n v="0.52400000000000002"/>
  </r>
  <r>
    <x v="0"/>
    <n v="0.5"/>
    <n v="64"/>
    <b v="0"/>
    <s v="ON"/>
    <s v="adam"/>
    <x v="2"/>
    <n v="52"/>
    <n v="0.60960000000000003"/>
    <n v="0.8327"/>
    <n v="2.1063000000000001"/>
    <n v="0.52400000000000002"/>
  </r>
  <r>
    <x v="0"/>
    <n v="0.3"/>
    <n v="256"/>
    <b v="0"/>
    <s v="ON"/>
    <s v="rmsprop"/>
    <x v="2"/>
    <n v="149"/>
    <n v="1.3005"/>
    <n v="0.60909999999999997"/>
    <n v="1.7415"/>
    <n v="0.52400000000000002"/>
  </r>
  <r>
    <x v="0"/>
    <n v="0.3"/>
    <n v="64"/>
    <b v="0"/>
    <s v="OFF"/>
    <s v="adam"/>
    <x v="5"/>
    <n v="42"/>
    <n v="0.37509999999999999"/>
    <n v="0.89739999999999998"/>
    <n v="2.1421000000000001"/>
    <n v="0.52349999999999997"/>
  </r>
  <r>
    <x v="0"/>
    <n v="0.1"/>
    <n v="128"/>
    <b v="0"/>
    <s v="OFF"/>
    <s v="adam"/>
    <x v="4"/>
    <n v="73"/>
    <n v="0.2019"/>
    <n v="0.94499999999999995"/>
    <n v="2.4605999999999999"/>
    <n v="0.52300000000000002"/>
  </r>
  <r>
    <x v="0"/>
    <n v="0.5"/>
    <n v="64"/>
    <b v="0"/>
    <s v="ON"/>
    <s v="adam"/>
    <x v="4"/>
    <n v="51"/>
    <n v="0.43640000000000001"/>
    <n v="0.87709999999999999"/>
    <n v="2.3157999999999999"/>
    <n v="0.52300000000000002"/>
  </r>
  <r>
    <x v="0"/>
    <n v="0.3"/>
    <n v="128"/>
    <b v="0"/>
    <s v="ON"/>
    <s v="adam"/>
    <x v="1"/>
    <n v="72"/>
    <n v="0.2843"/>
    <n v="0.91710000000000003"/>
    <n v="2.2926000000000002"/>
    <n v="0.52300000000000002"/>
  </r>
  <r>
    <x v="0"/>
    <n v="0.1"/>
    <n v="128"/>
    <b v="0"/>
    <s v="ON"/>
    <s v="rmsprop"/>
    <x v="1"/>
    <n v="73"/>
    <n v="0.86870000000000003"/>
    <n v="0.74809999999999999"/>
    <n v="1.8207"/>
    <n v="0.52300000000000002"/>
  </r>
  <r>
    <x v="0"/>
    <n v="0.5"/>
    <n v="256"/>
    <b v="0"/>
    <s v="ON"/>
    <s v="rmsprop"/>
    <x v="5"/>
    <n v="172"/>
    <n v="1.4699"/>
    <n v="0.55649999999999999"/>
    <n v="1.7351000000000001"/>
    <n v="0.52300000000000002"/>
  </r>
  <r>
    <x v="0"/>
    <n v="0.5"/>
    <n v="128"/>
    <b v="0"/>
    <s v="OFF"/>
    <s v="adam"/>
    <x v="2"/>
    <n v="74"/>
    <n v="0.4491"/>
    <n v="0.86890000000000001"/>
    <n v="2.0800999999999998"/>
    <n v="0.52249999999999996"/>
  </r>
  <r>
    <x v="0"/>
    <n v="0.3"/>
    <n v="64"/>
    <b v="0"/>
    <s v="ON"/>
    <s v="adam"/>
    <x v="4"/>
    <n v="42"/>
    <n v="0.31519999999999998"/>
    <n v="0.91610000000000003"/>
    <n v="2.3563000000000001"/>
    <n v="0.52249999999999996"/>
  </r>
  <r>
    <x v="0"/>
    <n v="0.3"/>
    <n v="128"/>
    <b v="0"/>
    <s v="OFF"/>
    <s v="adam"/>
    <x v="0"/>
    <n v="74"/>
    <n v="0.29139999999999999"/>
    <n v="0.91690000000000005"/>
    <n v="2.2427999999999999"/>
    <n v="0.52200000000000002"/>
  </r>
  <r>
    <x v="0"/>
    <n v="0.3"/>
    <n v="64"/>
    <b v="0"/>
    <s v="ON"/>
    <s v="adam"/>
    <x v="3"/>
    <n v="42"/>
    <n v="0.34799999999999998"/>
    <n v="0.90610000000000002"/>
    <n v="2.2393000000000001"/>
    <n v="0.52200000000000002"/>
  </r>
  <r>
    <x v="0"/>
    <n v="0.5"/>
    <n v="256"/>
    <b v="0"/>
    <s v="ON"/>
    <s v="adam"/>
    <x v="5"/>
    <n v="170"/>
    <n v="0.62980000000000003"/>
    <n v="0.81169999999999998"/>
    <n v="1.9017999999999999"/>
    <n v="0.52149999999999996"/>
  </r>
  <r>
    <x v="0"/>
    <n v="0.5"/>
    <n v="256"/>
    <b v="0"/>
    <s v="OFF"/>
    <s v="adam"/>
    <x v="2"/>
    <n v="159"/>
    <n v="0.4597"/>
    <n v="0.86609999999999998"/>
    <n v="1.9945999999999999"/>
    <n v="0.52149999999999996"/>
  </r>
  <r>
    <x v="0"/>
    <n v="0.5"/>
    <n v="128"/>
    <b v="0"/>
    <s v="OFF"/>
    <s v="adam"/>
    <x v="0"/>
    <n v="74"/>
    <n v="0.4002"/>
    <n v="0.88419999999999999"/>
    <n v="2.0727000000000002"/>
    <n v="0.52149999999999996"/>
  </r>
  <r>
    <x v="0"/>
    <n v="0.3"/>
    <n v="128"/>
    <b v="0"/>
    <s v="ON"/>
    <s v="rmsprop"/>
    <x v="2"/>
    <n v="70"/>
    <n v="1.302"/>
    <n v="0.61850000000000005"/>
    <n v="1.7652000000000001"/>
    <n v="0.52149999999999996"/>
  </r>
  <r>
    <x v="0"/>
    <n v="0.1"/>
    <n v="256"/>
    <b v="0"/>
    <s v="OFF"/>
    <s v="rmsprop"/>
    <x v="5"/>
    <n v="141"/>
    <n v="1.0416000000000001"/>
    <n v="0.68769999999999998"/>
    <n v="1.7025999999999999"/>
    <n v="0.52100000000000002"/>
  </r>
  <r>
    <x v="0"/>
    <n v="0.1"/>
    <n v="64"/>
    <b v="0"/>
    <s v="ON"/>
    <s v="adam"/>
    <x v="2"/>
    <n v="42"/>
    <n v="0.36270000000000002"/>
    <n v="0.90349999999999997"/>
    <n v="2.2126000000000001"/>
    <n v="0.52100000000000002"/>
  </r>
  <r>
    <x v="0"/>
    <n v="0.3"/>
    <n v="128"/>
    <b v="0"/>
    <s v="ON"/>
    <s v="adam"/>
    <x v="3"/>
    <n v="74"/>
    <n v="0.34210000000000002"/>
    <n v="0.90339999999999998"/>
    <n v="2.2010999999999998"/>
    <n v="0.52100000000000002"/>
  </r>
  <r>
    <x v="0"/>
    <n v="0.1"/>
    <n v="256"/>
    <b v="0"/>
    <s v="ON"/>
    <s v="adam"/>
    <x v="1"/>
    <n v="165"/>
    <n v="0.2069"/>
    <n v="0.94099999999999995"/>
    <n v="2.3220000000000001"/>
    <n v="0.52049999999999996"/>
  </r>
  <r>
    <x v="0"/>
    <n v="0.3"/>
    <n v="64"/>
    <b v="0"/>
    <s v="OFF"/>
    <s v="adam"/>
    <x v="3"/>
    <n v="42"/>
    <n v="0.28249999999999997"/>
    <n v="0.92330000000000001"/>
    <n v="2.3155999999999999"/>
    <n v="0.52"/>
  </r>
  <r>
    <x v="0"/>
    <n v="0.3"/>
    <n v="256"/>
    <b v="0"/>
    <s v="ON"/>
    <s v="adam"/>
    <x v="4"/>
    <n v="142"/>
    <n v="0.27900000000000003"/>
    <n v="0.92120000000000002"/>
    <n v="2.2178"/>
    <n v="0.52"/>
  </r>
  <r>
    <x v="0"/>
    <n v="0.1"/>
    <n v="128"/>
    <b v="0"/>
    <s v="ON"/>
    <s v="rmsprop"/>
    <x v="2"/>
    <n v="73"/>
    <n v="1.1686000000000001"/>
    <n v="0.66080000000000005"/>
    <n v="1.7612000000000001"/>
    <n v="0.51949999999999996"/>
  </r>
  <r>
    <x v="0"/>
    <n v="0.5"/>
    <n v="64"/>
    <b v="0"/>
    <s v="ON"/>
    <s v="adam"/>
    <x v="5"/>
    <n v="50"/>
    <n v="0.70079999999999998"/>
    <n v="0.80569999999999997"/>
    <n v="2.0188000000000001"/>
    <n v="0.51949999999999996"/>
  </r>
  <r>
    <x v="0"/>
    <n v="0.5"/>
    <n v="128"/>
    <b v="0"/>
    <s v="OFF"/>
    <s v="adam"/>
    <x v="1"/>
    <n v="74"/>
    <n v="0.2954"/>
    <n v="0.91539999999999999"/>
    <n v="2.1894"/>
    <n v="0.51949999999999996"/>
  </r>
  <r>
    <x v="0"/>
    <n v="0.3"/>
    <n v="64"/>
    <b v="0"/>
    <s v="ON"/>
    <s v="rmsprop"/>
    <x v="2"/>
    <n v="41"/>
    <n v="1.4161999999999999"/>
    <n v="0.56740000000000002"/>
    <n v="1.8145"/>
    <n v="0.51900000000000002"/>
  </r>
  <r>
    <x v="0"/>
    <n v="0.3"/>
    <n v="128"/>
    <b v="0"/>
    <s v="ON"/>
    <s v="adam"/>
    <x v="5"/>
    <n v="75"/>
    <n v="0.51600000000000001"/>
    <n v="0.85450000000000004"/>
    <n v="2.0274000000000001"/>
    <n v="0.51900000000000002"/>
  </r>
  <r>
    <x v="0"/>
    <n v="0.1"/>
    <n v="256"/>
    <b v="0"/>
    <s v="ON"/>
    <s v="adam"/>
    <x v="4"/>
    <n v="165"/>
    <n v="0.23810000000000001"/>
    <n v="0.93310000000000004"/>
    <n v="2.2755000000000001"/>
    <n v="0.51849999999999996"/>
  </r>
  <r>
    <x v="0"/>
    <n v="0.5"/>
    <n v="64"/>
    <b v="0"/>
    <s v="OFF"/>
    <s v="adam"/>
    <x v="1"/>
    <n v="50"/>
    <n v="0.29049999999999998"/>
    <n v="0.91949999999999998"/>
    <n v="2.3374999999999999"/>
    <n v="0.51800000000000002"/>
  </r>
  <r>
    <x v="0"/>
    <n v="0.1"/>
    <n v="64"/>
    <b v="0"/>
    <s v="OFF"/>
    <s v="adam"/>
    <x v="0"/>
    <n v="49"/>
    <n v="0.2641"/>
    <n v="0.93030000000000002"/>
    <n v="2.3824999999999998"/>
    <n v="0.51749999999999996"/>
  </r>
  <r>
    <x v="0"/>
    <n v="0.5"/>
    <n v="64"/>
    <b v="0"/>
    <s v="ON"/>
    <s v="rmsprop"/>
    <x v="3"/>
    <n v="42"/>
    <n v="1.3592"/>
    <n v="0.58840000000000003"/>
    <n v="1.7844"/>
    <n v="0.51749999999999996"/>
  </r>
  <r>
    <x v="0"/>
    <n v="0.5"/>
    <n v="128"/>
    <b v="0"/>
    <s v="ON"/>
    <s v="rmsprop"/>
    <x v="2"/>
    <n v="75"/>
    <n v="1.4133"/>
    <n v="0.57010000000000005"/>
    <n v="1.7689999999999999"/>
    <n v="0.51749999999999996"/>
  </r>
  <r>
    <x v="0"/>
    <n v="0.3"/>
    <n v="64"/>
    <b v="0"/>
    <s v="OFF"/>
    <s v="rmsprop"/>
    <x v="5"/>
    <n v="41"/>
    <n v="1.0705"/>
    <n v="0.69189999999999996"/>
    <n v="1.8419000000000001"/>
    <n v="0.51700000000000002"/>
  </r>
  <r>
    <x v="0"/>
    <n v="0.5"/>
    <n v="128"/>
    <b v="0"/>
    <s v="OFF"/>
    <s v="adam"/>
    <x v="5"/>
    <n v="75"/>
    <n v="0.49"/>
    <n v="0.85780000000000001"/>
    <n v="1.9907999999999999"/>
    <n v="0.51700000000000002"/>
  </r>
  <r>
    <x v="0"/>
    <n v="0.1"/>
    <n v="64"/>
    <b v="0"/>
    <s v="ON"/>
    <s v="rmsprop"/>
    <x v="2"/>
    <n v="42"/>
    <n v="1.2597"/>
    <n v="0.62790000000000001"/>
    <n v="1.8278000000000001"/>
    <n v="0.51649999999999996"/>
  </r>
  <r>
    <x v="0"/>
    <n v="0.1"/>
    <n v="64"/>
    <b v="0"/>
    <s v="OFF"/>
    <s v="adam"/>
    <x v="5"/>
    <n v="49"/>
    <n v="0.34620000000000001"/>
    <n v="0.9073"/>
    <n v="2.2025999999999999"/>
    <n v="0.51649999999999996"/>
  </r>
  <r>
    <x v="0"/>
    <n v="0.3"/>
    <n v="256"/>
    <b v="0"/>
    <s v="OFF"/>
    <s v="adam"/>
    <x v="2"/>
    <n v="141"/>
    <n v="0.35859999999999997"/>
    <n v="0.8962"/>
    <n v="2.1006999999999998"/>
    <n v="0.51649999999999996"/>
  </r>
  <r>
    <x v="0"/>
    <n v="0.3"/>
    <n v="256"/>
    <b v="0"/>
    <s v="ON"/>
    <s v="rmsprop"/>
    <x v="5"/>
    <n v="151"/>
    <n v="1.3915999999999999"/>
    <n v="0.58009999999999995"/>
    <n v="1.7938000000000001"/>
    <n v="0.51600000000000001"/>
  </r>
  <r>
    <x v="0"/>
    <n v="0.1"/>
    <n v="256"/>
    <b v="0"/>
    <s v="ON"/>
    <s v="rmsprop"/>
    <x v="5"/>
    <n v="150"/>
    <n v="1.2789999999999999"/>
    <n v="0.61319999999999997"/>
    <n v="1.7802"/>
    <n v="0.51500000000000001"/>
  </r>
  <r>
    <x v="0"/>
    <n v="0.3"/>
    <n v="64"/>
    <b v="0"/>
    <s v="OFF"/>
    <s v="adam"/>
    <x v="2"/>
    <n v="42"/>
    <n v="0.33589999999999998"/>
    <n v="0.90939999999999999"/>
    <n v="2.2324000000000002"/>
    <n v="0.51500000000000001"/>
  </r>
  <r>
    <x v="0"/>
    <n v="0.5"/>
    <n v="64"/>
    <b v="0"/>
    <s v="OFF"/>
    <s v="adam"/>
    <x v="2"/>
    <n v="49"/>
    <n v="0.44769999999999999"/>
    <n v="0.875"/>
    <n v="2.1781000000000001"/>
    <n v="0.51500000000000001"/>
  </r>
  <r>
    <x v="0"/>
    <n v="0.1"/>
    <n v="64"/>
    <b v="0"/>
    <s v="ON"/>
    <s v="adam"/>
    <x v="1"/>
    <n v="42"/>
    <n v="0.2011"/>
    <n v="0.9456"/>
    <n v="2.4836"/>
    <n v="0.51500000000000001"/>
  </r>
  <r>
    <x v="0"/>
    <n v="0.5"/>
    <n v="128"/>
    <b v="0"/>
    <s v="OFF"/>
    <s v="adam"/>
    <x v="4"/>
    <n v="75"/>
    <n v="0.31830000000000003"/>
    <n v="0.90749999999999997"/>
    <n v="2.2692000000000001"/>
    <n v="0.51449999999999996"/>
  </r>
  <r>
    <x v="0"/>
    <n v="0.1"/>
    <n v="64"/>
    <b v="0"/>
    <s v="OFF"/>
    <s v="rmsprop"/>
    <x v="5"/>
    <n v="47"/>
    <n v="0.94969999999999999"/>
    <n v="0.72660000000000002"/>
    <n v="1.8725000000000001"/>
    <n v="0.51349999999999996"/>
  </r>
  <r>
    <x v="0"/>
    <n v="0.3"/>
    <n v="64"/>
    <b v="0"/>
    <s v="OFF"/>
    <s v="adam"/>
    <x v="4"/>
    <n v="42"/>
    <n v="0.25309999999999999"/>
    <n v="0.93149999999999999"/>
    <n v="2.4828000000000001"/>
    <n v="0.51300000000000001"/>
  </r>
  <r>
    <x v="0"/>
    <n v="0.1"/>
    <n v="64"/>
    <b v="0"/>
    <s v="ON"/>
    <s v="adam"/>
    <x v="5"/>
    <n v="42"/>
    <n v="0.41570000000000001"/>
    <n v="0.88900000000000001"/>
    <n v="2.1686999999999999"/>
    <n v="0.51200000000000001"/>
  </r>
  <r>
    <x v="0"/>
    <n v="0.1"/>
    <n v="256"/>
    <b v="0"/>
    <s v="ON"/>
    <s v="adam"/>
    <x v="3"/>
    <n v="165"/>
    <n v="0.26150000000000001"/>
    <n v="0.92630000000000001"/>
    <n v="2.2892999999999999"/>
    <n v="0.51200000000000001"/>
  </r>
  <r>
    <x v="0"/>
    <n v="0.1"/>
    <n v="256"/>
    <b v="0"/>
    <s v="OFF"/>
    <s v="adam"/>
    <x v="1"/>
    <n v="138"/>
    <n v="0.1709"/>
    <n v="0.95169999999999999"/>
    <n v="2.4615999999999998"/>
    <n v="0.51149999999999995"/>
  </r>
  <r>
    <x v="0"/>
    <n v="0.3"/>
    <n v="64"/>
    <b v="0"/>
    <s v="OFF"/>
    <s v="adam"/>
    <x v="1"/>
    <n v="42"/>
    <n v="0.23949999999999999"/>
    <n v="0.93369999999999997"/>
    <n v="2.3561000000000001"/>
    <n v="0.51149999999999995"/>
  </r>
  <r>
    <x v="0"/>
    <n v="0.5"/>
    <n v="64"/>
    <b v="0"/>
    <s v="ON"/>
    <s v="rmsprop"/>
    <x v="4"/>
    <n v="41"/>
    <n v="1.2730999999999999"/>
    <n v="0.62070000000000003"/>
    <n v="1.7847999999999999"/>
    <n v="0.51149999999999995"/>
  </r>
  <r>
    <x v="0"/>
    <n v="0.3"/>
    <n v="256"/>
    <b v="0"/>
    <s v="OFF"/>
    <s v="adam"/>
    <x v="5"/>
    <n v="142"/>
    <n v="0.4178"/>
    <n v="0.88149999999999995"/>
    <n v="2.1459000000000001"/>
    <n v="0.51"/>
  </r>
  <r>
    <x v="0"/>
    <n v="0.1"/>
    <n v="128"/>
    <b v="0"/>
    <s v="OFF"/>
    <s v="adam"/>
    <x v="2"/>
    <n v="74"/>
    <n v="0.25919999999999999"/>
    <n v="0.9325"/>
    <n v="2.4001999999999999"/>
    <n v="0.50949999999999995"/>
  </r>
  <r>
    <x v="0"/>
    <n v="0.5"/>
    <n v="64"/>
    <b v="0"/>
    <s v="ON"/>
    <s v="rmsprop"/>
    <x v="2"/>
    <n v="42"/>
    <n v="1.5009999999999999"/>
    <n v="0.54369999999999996"/>
    <n v="1.806"/>
    <n v="0.50949999999999995"/>
  </r>
  <r>
    <x v="0"/>
    <n v="0.1"/>
    <n v="128"/>
    <b v="0"/>
    <s v="OFF"/>
    <s v="adam"/>
    <x v="5"/>
    <n v="79"/>
    <n v="0.29220000000000002"/>
    <n v="0.92030000000000001"/>
    <n v="2.2658"/>
    <n v="0.50900000000000001"/>
  </r>
  <r>
    <x v="0"/>
    <n v="0.3"/>
    <n v="128"/>
    <b v="0"/>
    <s v="OFF"/>
    <s v="adam"/>
    <x v="1"/>
    <n v="74"/>
    <n v="0.2331"/>
    <n v="0.93540000000000001"/>
    <n v="2.2743000000000002"/>
    <n v="0.50900000000000001"/>
  </r>
  <r>
    <x v="0"/>
    <n v="0.3"/>
    <n v="256"/>
    <b v="0"/>
    <s v="OFF"/>
    <s v="adam"/>
    <x v="4"/>
    <n v="142"/>
    <n v="0.25359999999999999"/>
    <n v="0.92490000000000006"/>
    <n v="2.2517999999999998"/>
    <n v="0.50749999999999995"/>
  </r>
  <r>
    <x v="0"/>
    <n v="0.1"/>
    <n v="64"/>
    <b v="0"/>
    <s v="OFF"/>
    <s v="adam"/>
    <x v="1"/>
    <n v="49"/>
    <n v="0.18909999999999999"/>
    <n v="0.95"/>
    <n v="2.6053000000000002"/>
    <n v="0.50700000000000001"/>
  </r>
  <r>
    <x v="0"/>
    <n v="0.1"/>
    <n v="64"/>
    <b v="0"/>
    <s v="ON"/>
    <s v="rmsprop"/>
    <x v="5"/>
    <n v="41"/>
    <n v="1.3443000000000001"/>
    <n v="0.60140000000000005"/>
    <n v="1.8832"/>
    <n v="0.50649999999999995"/>
  </r>
  <r>
    <x v="0"/>
    <n v="0.1"/>
    <n v="256"/>
    <b v="0"/>
    <s v="OFF"/>
    <s v="adam"/>
    <x v="5"/>
    <n v="138"/>
    <n v="0.31109999999999999"/>
    <n v="0.91049999999999998"/>
    <n v="2.3136000000000001"/>
    <n v="0.50549999999999995"/>
  </r>
  <r>
    <x v="0"/>
    <n v="0.3"/>
    <n v="64"/>
    <b v="0"/>
    <s v="ON"/>
    <s v="rmsprop"/>
    <x v="5"/>
    <n v="41"/>
    <n v="1.5034000000000001"/>
    <n v="0.53610000000000002"/>
    <n v="1.8984000000000001"/>
    <n v="0.505"/>
  </r>
  <r>
    <x v="0"/>
    <n v="0.1"/>
    <n v="256"/>
    <b v="0"/>
    <s v="OFF"/>
    <s v="adam"/>
    <x v="0"/>
    <n v="137"/>
    <n v="0.23250000000000001"/>
    <n v="0.93310000000000004"/>
    <n v="2.3315999999999999"/>
    <n v="0.505"/>
  </r>
  <r>
    <x v="0"/>
    <n v="0.1"/>
    <n v="128"/>
    <b v="0"/>
    <s v="OFF"/>
    <s v="adam"/>
    <x v="1"/>
    <n v="74"/>
    <n v="0.17710000000000001"/>
    <n v="0.95199999999999996"/>
    <n v="2.4777"/>
    <n v="0.505"/>
  </r>
  <r>
    <x v="0"/>
    <n v="0.5"/>
    <n v="64"/>
    <b v="0"/>
    <s v="ON"/>
    <s v="rmsprop"/>
    <x v="0"/>
    <n v="42"/>
    <n v="1.4298"/>
    <n v="0.56469999999999998"/>
    <n v="1.825"/>
    <n v="0.504"/>
  </r>
  <r>
    <x v="0"/>
    <n v="0.1"/>
    <n v="64"/>
    <b v="0"/>
    <s v="OFF"/>
    <s v="adam"/>
    <x v="4"/>
    <n v="49"/>
    <n v="0.2122"/>
    <n v="0.94569999999999999"/>
    <n v="2.5110000000000001"/>
    <n v="0.4995"/>
  </r>
  <r>
    <x v="0"/>
    <n v="0.5"/>
    <n v="128"/>
    <b v="0"/>
    <s v="ON"/>
    <s v="rmsprop"/>
    <x v="5"/>
    <n v="75"/>
    <n v="1.5077"/>
    <n v="0.54190000000000005"/>
    <n v="1.8475999999999999"/>
    <n v="0.4975"/>
  </r>
  <r>
    <x v="0"/>
    <n v="0.1"/>
    <n v="128"/>
    <b v="0"/>
    <s v="OFF"/>
    <s v="adam"/>
    <x v="3"/>
    <n v="74"/>
    <n v="0.1963"/>
    <n v="0.94510000000000005"/>
    <n v="2.5337999999999998"/>
    <n v="0.497"/>
  </r>
  <r>
    <x v="0"/>
    <n v="0.1"/>
    <n v="256"/>
    <b v="0"/>
    <s v="OFF"/>
    <s v="adam"/>
    <x v="3"/>
    <n v="137"/>
    <n v="0.21740000000000001"/>
    <n v="0.93600000000000005"/>
    <n v="2.4964"/>
    <n v="0.4945"/>
  </r>
  <r>
    <x v="0"/>
    <n v="0.1"/>
    <n v="256"/>
    <b v="0"/>
    <s v="OFF"/>
    <s v="adam"/>
    <x v="4"/>
    <n v="138"/>
    <n v="0.1938"/>
    <n v="0.94230000000000003"/>
    <n v="2.516"/>
    <n v="0.48899999999999999"/>
  </r>
  <r>
    <x v="0"/>
    <n v="0.5"/>
    <n v="64"/>
    <b v="0"/>
    <s v="ON"/>
    <s v="rmsprop"/>
    <x v="5"/>
    <n v="41"/>
    <n v="1.5713999999999999"/>
    <n v="0.51649999999999996"/>
    <n v="1.8545"/>
    <n v="0.48799999999999999"/>
  </r>
  <r>
    <x v="1"/>
    <n v="0.1"/>
    <n v="64"/>
    <b v="0"/>
    <s v="OFF"/>
    <s v="adam"/>
    <x v="5"/>
    <n v="30"/>
    <n v="0.26069999999999999"/>
    <n v="0.92689999999999995"/>
    <n v="2.1814"/>
    <n v="0.52600000000000002"/>
  </r>
  <r>
    <x v="1"/>
    <n v="0.1"/>
    <n v="64"/>
    <b v="0"/>
    <s v="OFF"/>
    <s v="adam"/>
    <x v="2"/>
    <n v="30"/>
    <n v="0.22639999999999999"/>
    <n v="0.93589999999999995"/>
    <n v="2.4148000000000001"/>
    <n v="0.50949999999999995"/>
  </r>
  <r>
    <x v="1"/>
    <n v="0.1"/>
    <n v="64"/>
    <b v="0"/>
    <s v="OFF"/>
    <s v="adam"/>
    <x v="0"/>
    <n v="30"/>
    <n v="0.19939999999999999"/>
    <n v="0.94569999999999999"/>
    <n v="2.3062999999999998"/>
    <n v="0.52900000000000003"/>
  </r>
  <r>
    <x v="1"/>
    <n v="0.1"/>
    <n v="64"/>
    <b v="0"/>
    <s v="OFF"/>
    <s v="adam"/>
    <x v="3"/>
    <n v="30"/>
    <n v="0.1701"/>
    <n v="0.95240000000000002"/>
    <n v="2.3706999999999998"/>
    <n v="0.50949999999999995"/>
  </r>
  <r>
    <x v="1"/>
    <n v="0.1"/>
    <n v="64"/>
    <b v="0"/>
    <s v="OFF"/>
    <s v="adam"/>
    <x v="4"/>
    <n v="30"/>
    <n v="0.1618"/>
    <n v="0.95440000000000003"/>
    <n v="2.3856999999999999"/>
    <n v="0.51400000000000001"/>
  </r>
  <r>
    <x v="1"/>
    <n v="0.1"/>
    <n v="64"/>
    <b v="0"/>
    <s v="OFF"/>
    <s v="adam"/>
    <x v="1"/>
    <n v="30"/>
    <n v="0.14480000000000001"/>
    <n v="0.96099999999999997"/>
    <n v="2.42"/>
    <n v="0.50949999999999995"/>
  </r>
  <r>
    <x v="1"/>
    <n v="0.1"/>
    <n v="64"/>
    <b v="0"/>
    <s v="OFF"/>
    <s v="rmsprop"/>
    <x v="5"/>
    <n v="30"/>
    <n v="0.88400000000000001"/>
    <n v="0.74060000000000004"/>
    <n v="1.7849999999999999"/>
    <n v="0.52849999999999997"/>
  </r>
  <r>
    <x v="1"/>
    <n v="0.1"/>
    <n v="64"/>
    <b v="0"/>
    <s v="OFF"/>
    <s v="rmsprop"/>
    <x v="2"/>
    <n v="30"/>
    <n v="0.80159999999999998"/>
    <n v="0.76490000000000002"/>
    <n v="1.8711"/>
    <n v="0.52949999999999997"/>
  </r>
  <r>
    <x v="1"/>
    <n v="0.1"/>
    <n v="64"/>
    <b v="0"/>
    <s v="OFF"/>
    <s v="rmsprop"/>
    <x v="0"/>
    <n v="30"/>
    <n v="0.7248"/>
    <n v="0.79200000000000004"/>
    <n v="1.9414"/>
    <n v="0.52549999999999997"/>
  </r>
  <r>
    <x v="1"/>
    <n v="0.1"/>
    <n v="64"/>
    <b v="0"/>
    <s v="OFF"/>
    <s v="rmsprop"/>
    <x v="3"/>
    <n v="32"/>
    <n v="0.65300000000000002"/>
    <n v="0.80630000000000002"/>
    <n v="1.9233"/>
    <n v="0.52049999999999996"/>
  </r>
  <r>
    <x v="1"/>
    <n v="0.1"/>
    <n v="64"/>
    <b v="0"/>
    <s v="OFF"/>
    <s v="rmsprop"/>
    <x v="4"/>
    <n v="30"/>
    <n v="0.60240000000000005"/>
    <n v="0.8286"/>
    <n v="1.9387000000000001"/>
    <n v="0.52600000000000002"/>
  </r>
  <r>
    <x v="1"/>
    <n v="0.1"/>
    <n v="64"/>
    <b v="0"/>
    <s v="OFF"/>
    <s v="rmsprop"/>
    <x v="1"/>
    <n v="30"/>
    <n v="0.54820000000000002"/>
    <n v="0.83640000000000003"/>
    <n v="2.0055999999999998"/>
    <n v="0.52900000000000003"/>
  </r>
  <r>
    <x v="1"/>
    <n v="0.1"/>
    <n v="64"/>
    <b v="0"/>
    <s v="ON"/>
    <s v="adam"/>
    <x v="5"/>
    <n v="37"/>
    <n v="0.33350000000000002"/>
    <n v="0.90849999999999997"/>
    <n v="2.1854"/>
    <n v="0.50749999999999995"/>
  </r>
  <r>
    <x v="1"/>
    <n v="0.1"/>
    <n v="64"/>
    <b v="0"/>
    <s v="ON"/>
    <s v="adam"/>
    <x v="2"/>
    <n v="37"/>
    <n v="0.29220000000000002"/>
    <n v="0.91679999999999995"/>
    <n v="2.2437999999999998"/>
    <n v="0.50600000000000001"/>
  </r>
  <r>
    <x v="1"/>
    <n v="0.1"/>
    <n v="64"/>
    <b v="0"/>
    <s v="ON"/>
    <s v="adam"/>
    <x v="0"/>
    <n v="36"/>
    <n v="0.25619999999999998"/>
    <n v="0.9284"/>
    <n v="2.2572999999999999"/>
    <n v="0.51449999999999996"/>
  </r>
  <r>
    <x v="1"/>
    <n v="0.1"/>
    <n v="64"/>
    <b v="0"/>
    <s v="ON"/>
    <s v="adam"/>
    <x v="3"/>
    <n v="33"/>
    <n v="0.2281"/>
    <n v="0.93769999999999998"/>
    <n v="2.3027000000000002"/>
    <n v="0.51100000000000001"/>
  </r>
  <r>
    <x v="1"/>
    <n v="0.1"/>
    <n v="64"/>
    <b v="0"/>
    <s v="ON"/>
    <s v="adam"/>
    <x v="4"/>
    <n v="32"/>
    <n v="0.22309999999999999"/>
    <n v="0.93740000000000001"/>
    <n v="2.3147000000000002"/>
    <n v="0.51200000000000001"/>
  </r>
  <r>
    <x v="1"/>
    <n v="0.1"/>
    <n v="64"/>
    <b v="0"/>
    <s v="ON"/>
    <s v="adam"/>
    <x v="1"/>
    <n v="32"/>
    <n v="0.20749999999999999"/>
    <n v="0.94369999999999998"/>
    <n v="2.3719000000000001"/>
    <n v="0.499"/>
  </r>
  <r>
    <x v="1"/>
    <n v="0.1"/>
    <n v="64"/>
    <b v="0"/>
    <s v="ON"/>
    <s v="rmsprop"/>
    <x v="5"/>
    <n v="34"/>
    <n v="1.1332"/>
    <n v="0.6714"/>
    <n v="1.7000999999999999"/>
    <n v="0.54200000000000004"/>
  </r>
  <r>
    <x v="1"/>
    <n v="0.1"/>
    <n v="64"/>
    <b v="0"/>
    <s v="ON"/>
    <s v="rmsprop"/>
    <x v="2"/>
    <n v="33"/>
    <n v="1.0364"/>
    <n v="0.69610000000000005"/>
    <n v="1.7364999999999999"/>
    <n v="0.53049999999999997"/>
  </r>
  <r>
    <x v="1"/>
    <n v="0.1"/>
    <n v="64"/>
    <b v="0"/>
    <s v="ON"/>
    <s v="rmsprop"/>
    <x v="0"/>
    <n v="33"/>
    <n v="0.9677"/>
    <n v="0.71609999999999996"/>
    <n v="1.7269000000000001"/>
    <n v="0.53749999999999998"/>
  </r>
  <r>
    <x v="1"/>
    <n v="0.1"/>
    <n v="64"/>
    <b v="0"/>
    <s v="ON"/>
    <s v="rmsprop"/>
    <x v="3"/>
    <n v="33"/>
    <n v="0.88149999999999995"/>
    <n v="0.73950000000000005"/>
    <n v="1.6837"/>
    <n v="0.55400000000000005"/>
  </r>
  <r>
    <x v="1"/>
    <n v="0.1"/>
    <n v="64"/>
    <b v="0"/>
    <s v="ON"/>
    <s v="rmsprop"/>
    <x v="4"/>
    <n v="33"/>
    <n v="0.81630000000000003"/>
    <n v="0.76370000000000005"/>
    <n v="1.7"/>
    <n v="0.55300000000000005"/>
  </r>
  <r>
    <x v="1"/>
    <n v="0.1"/>
    <n v="64"/>
    <b v="0"/>
    <s v="ON"/>
    <s v="rmsprop"/>
    <x v="1"/>
    <n v="33"/>
    <n v="0.7429"/>
    <n v="0.78939999999999999"/>
    <n v="1.7182999999999999"/>
    <n v="0.55400000000000005"/>
  </r>
  <r>
    <x v="1"/>
    <n v="0.1"/>
    <n v="128"/>
    <b v="0"/>
    <s v="OFF"/>
    <s v="adam"/>
    <x v="5"/>
    <n v="57"/>
    <n v="0.24229999999999999"/>
    <n v="0.92989999999999995"/>
    <n v="2.2473999999999998"/>
    <n v="0.50900000000000001"/>
  </r>
  <r>
    <x v="1"/>
    <n v="0.1"/>
    <n v="128"/>
    <b v="0"/>
    <s v="OFF"/>
    <s v="adam"/>
    <x v="2"/>
    <n v="64"/>
    <n v="0.2157"/>
    <n v="0.93759999999999999"/>
    <n v="2.2966000000000002"/>
    <n v="0.52349999999999997"/>
  </r>
  <r>
    <x v="1"/>
    <n v="0.1"/>
    <n v="128"/>
    <b v="0"/>
    <s v="OFF"/>
    <s v="adam"/>
    <x v="0"/>
    <n v="63"/>
    <n v="0.1908"/>
    <n v="0.94410000000000005"/>
    <n v="2.4049999999999998"/>
    <n v="0.4945"/>
  </r>
  <r>
    <x v="1"/>
    <n v="0.1"/>
    <n v="128"/>
    <b v="0"/>
    <s v="OFF"/>
    <s v="adam"/>
    <x v="3"/>
    <n v="64"/>
    <n v="0.16250000000000001"/>
    <n v="0.95430000000000004"/>
    <n v="2.3170999999999999"/>
    <n v="0.51600000000000001"/>
  </r>
  <r>
    <x v="1"/>
    <n v="0.1"/>
    <n v="128"/>
    <b v="0"/>
    <s v="OFF"/>
    <s v="adam"/>
    <x v="4"/>
    <n v="63"/>
    <n v="0.15049999999999999"/>
    <n v="0.95540000000000003"/>
    <n v="2.3990999999999998"/>
    <n v="0.50349999999999995"/>
  </r>
  <r>
    <x v="1"/>
    <n v="0.1"/>
    <n v="128"/>
    <b v="0"/>
    <s v="OFF"/>
    <s v="adam"/>
    <x v="1"/>
    <n v="64"/>
    <n v="0.13669999999999999"/>
    <n v="0.95899999999999996"/>
    <n v="2.4036"/>
    <n v="0.51449999999999996"/>
  </r>
  <r>
    <x v="1"/>
    <n v="0.1"/>
    <n v="128"/>
    <b v="0"/>
    <s v="OFF"/>
    <s v="rmsprop"/>
    <x v="5"/>
    <n v="57"/>
    <n v="0.76290000000000002"/>
    <n v="0.76970000000000005"/>
    <n v="1.7017"/>
    <n v="0.55300000000000005"/>
  </r>
  <r>
    <x v="1"/>
    <n v="0.1"/>
    <n v="128"/>
    <b v="0"/>
    <s v="OFF"/>
    <s v="rmsprop"/>
    <x v="2"/>
    <n v="57"/>
    <n v="0.68400000000000005"/>
    <n v="0.79849999999999999"/>
    <n v="2.0958000000000001"/>
    <n v="0.496"/>
  </r>
  <r>
    <x v="1"/>
    <n v="0.1"/>
    <n v="128"/>
    <b v="0"/>
    <s v="OFF"/>
    <s v="rmsprop"/>
    <x v="0"/>
    <n v="57"/>
    <n v="0.60799999999999998"/>
    <n v="0.81910000000000005"/>
    <n v="1.8767"/>
    <n v="0.54149999999999998"/>
  </r>
  <r>
    <x v="1"/>
    <n v="0.1"/>
    <n v="128"/>
    <b v="0"/>
    <s v="OFF"/>
    <s v="rmsprop"/>
    <x v="3"/>
    <n v="58"/>
    <n v="0.54379999999999995"/>
    <n v="0.84"/>
    <n v="1.9176"/>
    <n v="0.51700000000000002"/>
  </r>
  <r>
    <x v="1"/>
    <n v="0.1"/>
    <n v="128"/>
    <b v="0"/>
    <s v="OFF"/>
    <s v="rmsprop"/>
    <x v="4"/>
    <n v="58"/>
    <n v="0.4864"/>
    <n v="0.8569"/>
    <n v="1.9327000000000001"/>
    <n v="0.52249999999999996"/>
  </r>
  <r>
    <x v="1"/>
    <n v="0.1"/>
    <n v="128"/>
    <b v="0"/>
    <s v="OFF"/>
    <s v="rmsprop"/>
    <x v="1"/>
    <n v="58"/>
    <n v="0.44590000000000002"/>
    <n v="0.871"/>
    <n v="1.9512"/>
    <n v="0.54"/>
  </r>
  <r>
    <x v="1"/>
    <n v="0.1"/>
    <n v="128"/>
    <b v="0"/>
    <s v="ON"/>
    <s v="adam"/>
    <x v="5"/>
    <n v="62"/>
    <n v="0.29959999999999998"/>
    <n v="0.91459999999999997"/>
    <n v="1.9540999999999999"/>
    <n v="0.55100000000000005"/>
  </r>
  <r>
    <x v="1"/>
    <n v="0.1"/>
    <n v="128"/>
    <b v="0"/>
    <s v="ON"/>
    <s v="adam"/>
    <x v="2"/>
    <n v="61"/>
    <n v="0.25600000000000001"/>
    <n v="0.9254"/>
    <n v="2.0537000000000001"/>
    <n v="0.54200000000000004"/>
  </r>
  <r>
    <x v="1"/>
    <n v="0.1"/>
    <n v="128"/>
    <b v="0"/>
    <s v="ON"/>
    <s v="adam"/>
    <x v="0"/>
    <n v="60"/>
    <n v="0.2001"/>
    <n v="0.94299999999999995"/>
    <n v="2.1404000000000001"/>
    <n v="0.54100000000000004"/>
  </r>
  <r>
    <x v="1"/>
    <n v="0.1"/>
    <n v="128"/>
    <b v="0"/>
    <s v="ON"/>
    <s v="adam"/>
    <x v="3"/>
    <n v="60"/>
    <n v="0.1986"/>
    <n v="0.94130000000000003"/>
    <n v="2.1442000000000001"/>
    <n v="0.52900000000000003"/>
  </r>
  <r>
    <x v="1"/>
    <n v="0.1"/>
    <n v="128"/>
    <b v="0"/>
    <s v="ON"/>
    <s v="adam"/>
    <x v="4"/>
    <n v="61"/>
    <n v="0.18459999999999999"/>
    <n v="0.94940000000000002"/>
    <n v="2.198"/>
    <n v="0.53"/>
  </r>
  <r>
    <x v="1"/>
    <n v="0.1"/>
    <n v="128"/>
    <b v="0"/>
    <s v="ON"/>
    <s v="adam"/>
    <x v="1"/>
    <n v="61"/>
    <n v="0.15770000000000001"/>
    <n v="0.95599999999999996"/>
    <n v="2.2534999999999998"/>
    <n v="0.53600000000000003"/>
  </r>
  <r>
    <x v="1"/>
    <n v="0.1"/>
    <n v="128"/>
    <b v="0"/>
    <s v="ON"/>
    <s v="rmsprop"/>
    <x v="5"/>
    <n v="56"/>
    <n v="1.0094000000000001"/>
    <n v="0.69910000000000005"/>
    <n v="1.6055999999999999"/>
    <n v="0.55149999999999999"/>
  </r>
  <r>
    <x v="1"/>
    <n v="0.1"/>
    <n v="128"/>
    <b v="0"/>
    <s v="ON"/>
    <s v="rmsprop"/>
    <x v="2"/>
    <n v="56"/>
    <n v="0.92720000000000002"/>
    <n v="0.72689999999999999"/>
    <n v="1.6867000000000001"/>
    <n v="0.54549999999999998"/>
  </r>
  <r>
    <x v="1"/>
    <n v="0.1"/>
    <n v="128"/>
    <b v="0"/>
    <s v="ON"/>
    <s v="rmsprop"/>
    <x v="0"/>
    <n v="56"/>
    <n v="0.84660000000000002"/>
    <n v="0.75160000000000005"/>
    <n v="1.6528"/>
    <n v="0.55600000000000005"/>
  </r>
  <r>
    <x v="1"/>
    <n v="0.1"/>
    <n v="128"/>
    <b v="0"/>
    <s v="ON"/>
    <s v="rmsprop"/>
    <x v="3"/>
    <n v="57"/>
    <n v="0.77759999999999996"/>
    <n v="0.76659999999999995"/>
    <n v="1.6868000000000001"/>
    <n v="0.55349999999999999"/>
  </r>
  <r>
    <x v="1"/>
    <n v="0.1"/>
    <n v="128"/>
    <b v="0"/>
    <s v="ON"/>
    <s v="rmsprop"/>
    <x v="4"/>
    <n v="56"/>
    <n v="0.72"/>
    <n v="0.79100000000000004"/>
    <n v="1.7188000000000001"/>
    <n v="0.54749999999999999"/>
  </r>
  <r>
    <x v="1"/>
    <n v="0.1"/>
    <n v="128"/>
    <b v="0"/>
    <s v="ON"/>
    <s v="rmsprop"/>
    <x v="1"/>
    <n v="56"/>
    <n v="0.67620000000000002"/>
    <n v="0.80330000000000001"/>
    <n v="1.742"/>
    <n v="0.55300000000000005"/>
  </r>
  <r>
    <x v="1"/>
    <n v="0.1"/>
    <n v="256"/>
    <b v="0"/>
    <s v="OFF"/>
    <s v="adam"/>
    <x v="5"/>
    <n v="117"/>
    <n v="0.23910000000000001"/>
    <n v="0.93089999999999995"/>
    <n v="2.0981000000000001"/>
    <n v="0.51849999999999996"/>
  </r>
  <r>
    <x v="1"/>
    <n v="0.1"/>
    <n v="256"/>
    <b v="0"/>
    <s v="OFF"/>
    <s v="adam"/>
    <x v="2"/>
    <n v="116"/>
    <n v="0.18840000000000001"/>
    <n v="0.94330000000000003"/>
    <n v="2.2235999999999998"/>
    <n v="0.52200000000000002"/>
  </r>
  <r>
    <x v="1"/>
    <n v="0.1"/>
    <n v="256"/>
    <b v="0"/>
    <s v="OFF"/>
    <s v="adam"/>
    <x v="0"/>
    <n v="117"/>
    <n v="0.18160000000000001"/>
    <n v="0.94569999999999999"/>
    <n v="2.1534"/>
    <n v="0.52349999999999997"/>
  </r>
  <r>
    <x v="1"/>
    <n v="0.1"/>
    <n v="256"/>
    <b v="0"/>
    <s v="OFF"/>
    <s v="adam"/>
    <x v="3"/>
    <n v="116"/>
    <n v="0.1731"/>
    <n v="0.9496"/>
    <n v="2.1913"/>
    <n v="0.53149999999999997"/>
  </r>
  <r>
    <x v="1"/>
    <n v="0.1"/>
    <n v="256"/>
    <b v="0"/>
    <s v="OFF"/>
    <s v="adam"/>
    <x v="4"/>
    <n v="118"/>
    <n v="0.13469999999999999"/>
    <n v="0.95960000000000001"/>
    <n v="2.2364000000000002"/>
    <n v="0.52849999999999997"/>
  </r>
  <r>
    <x v="1"/>
    <n v="0.1"/>
    <n v="256"/>
    <b v="0"/>
    <s v="OFF"/>
    <s v="adam"/>
    <x v="1"/>
    <n v="117"/>
    <n v="0.13550000000000001"/>
    <n v="0.96130000000000004"/>
    <n v="2.3530000000000002"/>
    <n v="0.51149999999999995"/>
  </r>
  <r>
    <x v="1"/>
    <n v="0.1"/>
    <n v="256"/>
    <b v="0"/>
    <s v="OFF"/>
    <s v="rmsprop"/>
    <x v="5"/>
    <n v="118"/>
    <n v="0.74850000000000005"/>
    <n v="0.77480000000000004"/>
    <n v="1.8027"/>
    <n v="0.54300000000000004"/>
  </r>
  <r>
    <x v="1"/>
    <n v="0.1"/>
    <n v="256"/>
    <b v="0"/>
    <s v="OFF"/>
    <s v="rmsprop"/>
    <x v="2"/>
    <n v="119"/>
    <n v="0.67530000000000001"/>
    <n v="0.79910000000000003"/>
    <n v="1.8344"/>
    <n v="0.53300000000000003"/>
  </r>
  <r>
    <x v="1"/>
    <n v="0.1"/>
    <n v="256"/>
    <b v="0"/>
    <s v="OFF"/>
    <s v="rmsprop"/>
    <x v="0"/>
    <n v="120"/>
    <n v="0.61050000000000004"/>
    <n v="0.81730000000000003"/>
    <n v="1.8482000000000001"/>
    <n v="0.51949999999999996"/>
  </r>
  <r>
    <x v="1"/>
    <n v="0.1"/>
    <n v="256"/>
    <b v="0"/>
    <s v="OFF"/>
    <s v="rmsprop"/>
    <x v="3"/>
    <n v="117"/>
    <n v="0.53100000000000003"/>
    <n v="0.83850000000000002"/>
    <n v="1.8963000000000001"/>
    <n v="0.51549999999999996"/>
  </r>
  <r>
    <x v="1"/>
    <n v="0.1"/>
    <n v="256"/>
    <b v="0"/>
    <s v="OFF"/>
    <s v="rmsprop"/>
    <x v="4"/>
    <n v="120"/>
    <n v="0.48820000000000002"/>
    <n v="0.84960000000000002"/>
    <n v="1.9028"/>
    <n v="0.53"/>
  </r>
  <r>
    <x v="1"/>
    <n v="0.1"/>
    <n v="256"/>
    <b v="0"/>
    <s v="OFF"/>
    <s v="rmsprop"/>
    <x v="1"/>
    <n v="117"/>
    <n v="0.43869999999999998"/>
    <n v="0.87170000000000003"/>
    <n v="1.8755999999999999"/>
    <n v="0.54749999999999999"/>
  </r>
  <r>
    <x v="1"/>
    <n v="0.1"/>
    <n v="256"/>
    <b v="0"/>
    <s v="ON"/>
    <s v="adam"/>
    <x v="5"/>
    <n v="116"/>
    <n v="0.26860000000000001"/>
    <n v="0.91930000000000001"/>
    <n v="2.0640000000000001"/>
    <n v="0.53200000000000003"/>
  </r>
  <r>
    <x v="1"/>
    <n v="0.1"/>
    <n v="256"/>
    <b v="0"/>
    <s v="ON"/>
    <s v="adam"/>
    <x v="2"/>
    <n v="116"/>
    <n v="0.23089999999999999"/>
    <n v="0.93269999999999997"/>
    <n v="2.1202999999999999"/>
    <n v="0.52700000000000002"/>
  </r>
  <r>
    <x v="1"/>
    <n v="0.1"/>
    <n v="256"/>
    <b v="0"/>
    <s v="ON"/>
    <s v="adam"/>
    <x v="0"/>
    <n v="116"/>
    <n v="0.193"/>
    <n v="0.94340000000000002"/>
    <n v="2.1554000000000002"/>
    <n v="0.51949999999999996"/>
  </r>
  <r>
    <x v="1"/>
    <n v="0.1"/>
    <n v="256"/>
    <b v="0"/>
    <s v="ON"/>
    <s v="adam"/>
    <x v="3"/>
    <n v="116"/>
    <n v="0.17380000000000001"/>
    <n v="0.94779999999999998"/>
    <n v="2.1892999999999998"/>
    <n v="0.52400000000000002"/>
  </r>
  <r>
    <x v="1"/>
    <n v="0.1"/>
    <n v="256"/>
    <b v="0"/>
    <s v="ON"/>
    <s v="adam"/>
    <x v="4"/>
    <n v="116"/>
    <n v="0.1578"/>
    <n v="0.95269999999999999"/>
    <n v="2.2206000000000001"/>
    <n v="0.51849999999999996"/>
  </r>
  <r>
    <x v="1"/>
    <n v="0.1"/>
    <n v="256"/>
    <b v="0"/>
    <s v="ON"/>
    <s v="adam"/>
    <x v="1"/>
    <n v="116"/>
    <n v="0.14480000000000001"/>
    <n v="0.9556"/>
    <n v="2.3123"/>
    <n v="0.52500000000000002"/>
  </r>
  <r>
    <x v="1"/>
    <n v="0.1"/>
    <n v="256"/>
    <b v="0"/>
    <s v="ON"/>
    <s v="rmsprop"/>
    <x v="5"/>
    <n v="129"/>
    <n v="0.9204"/>
    <n v="0.72640000000000005"/>
    <n v="1.7137"/>
    <n v="0.55149999999999999"/>
  </r>
  <r>
    <x v="1"/>
    <n v="0.1"/>
    <n v="256"/>
    <b v="0"/>
    <s v="ON"/>
    <s v="rmsprop"/>
    <x v="2"/>
    <n v="165"/>
    <n v="0.8286"/>
    <n v="0.75260000000000005"/>
    <n v="1.6798"/>
    <n v="0.54849999999999999"/>
  </r>
  <r>
    <x v="1"/>
    <n v="0.1"/>
    <n v="256"/>
    <b v="0"/>
    <s v="ON"/>
    <s v="rmsprop"/>
    <x v="0"/>
    <n v="146"/>
    <n v="0.75190000000000001"/>
    <n v="0.78390000000000004"/>
    <n v="1.7270000000000001"/>
    <n v="0.54600000000000004"/>
  </r>
  <r>
    <x v="1"/>
    <n v="0.1"/>
    <n v="256"/>
    <b v="0"/>
    <s v="ON"/>
    <s v="rmsprop"/>
    <x v="3"/>
    <n v="127"/>
    <n v="0.68810000000000004"/>
    <n v="0.79600000000000004"/>
    <n v="1.7422"/>
    <n v="0.54949999999999999"/>
  </r>
  <r>
    <x v="1"/>
    <n v="0.1"/>
    <n v="256"/>
    <b v="0"/>
    <s v="ON"/>
    <s v="rmsprop"/>
    <x v="4"/>
    <n v="134"/>
    <n v="0.61909999999999998"/>
    <n v="0.81740000000000002"/>
    <n v="1.7210000000000001"/>
    <n v="0.5605"/>
  </r>
  <r>
    <x v="1"/>
    <n v="0.1"/>
    <n v="256"/>
    <b v="0"/>
    <s v="ON"/>
    <s v="rmsprop"/>
    <x v="1"/>
    <n v="122"/>
    <n v="0.57799999999999996"/>
    <n v="0.82909999999999995"/>
    <n v="1.8250999999999999"/>
    <n v="0.54800000000000004"/>
  </r>
  <r>
    <x v="1"/>
    <n v="0.3"/>
    <n v="64"/>
    <b v="0"/>
    <s v="OFF"/>
    <s v="adam"/>
    <x v="5"/>
    <n v="35"/>
    <n v="0.38450000000000001"/>
    <n v="0.89180000000000004"/>
    <n v="2.1171000000000002"/>
    <n v="0.51500000000000001"/>
  </r>
  <r>
    <x v="1"/>
    <n v="0.3"/>
    <n v="64"/>
    <b v="0"/>
    <s v="OFF"/>
    <s v="adam"/>
    <x v="2"/>
    <n v="34"/>
    <n v="0.33500000000000002"/>
    <n v="0.90249999999999997"/>
    <n v="2.2667000000000002"/>
    <n v="0.4995"/>
  </r>
  <r>
    <x v="1"/>
    <n v="0.3"/>
    <n v="64"/>
    <b v="0"/>
    <s v="OFF"/>
    <s v="adam"/>
    <x v="0"/>
    <n v="34"/>
    <n v="0.29139999999999999"/>
    <n v="0.91490000000000005"/>
    <n v="2.2854999999999999"/>
    <n v="0.50900000000000001"/>
  </r>
  <r>
    <x v="1"/>
    <n v="0.3"/>
    <n v="64"/>
    <b v="0"/>
    <s v="OFF"/>
    <s v="adam"/>
    <x v="3"/>
    <n v="35"/>
    <n v="0.25119999999999998"/>
    <n v="0.9284"/>
    <n v="2.3551000000000002"/>
    <n v="0.50949999999999995"/>
  </r>
  <r>
    <x v="1"/>
    <n v="0.3"/>
    <n v="64"/>
    <b v="0"/>
    <s v="OFF"/>
    <s v="adam"/>
    <x v="4"/>
    <n v="34"/>
    <n v="0.23319999999999999"/>
    <n v="0.93300000000000005"/>
    <n v="2.4268999999999998"/>
    <n v="0.49199999999999999"/>
  </r>
  <r>
    <x v="1"/>
    <n v="0.3"/>
    <n v="64"/>
    <b v="0"/>
    <s v="OFF"/>
    <s v="adam"/>
    <x v="1"/>
    <n v="36"/>
    <n v="0.22189999999999999"/>
    <n v="0.93859999999999999"/>
    <n v="2.3974000000000002"/>
    <n v="0.503"/>
  </r>
  <r>
    <x v="1"/>
    <n v="0.3"/>
    <n v="64"/>
    <b v="0"/>
    <s v="OFF"/>
    <s v="rmsprop"/>
    <x v="5"/>
    <n v="34"/>
    <n v="1.0279"/>
    <n v="0.69399999999999995"/>
    <n v="1.8152999999999999"/>
    <n v="0.51249999999999996"/>
  </r>
  <r>
    <x v="1"/>
    <n v="0.3"/>
    <n v="64"/>
    <b v="0"/>
    <s v="OFF"/>
    <s v="rmsprop"/>
    <x v="2"/>
    <n v="35"/>
    <n v="0.96550000000000002"/>
    <n v="0.70899999999999996"/>
    <n v="1.8015000000000001"/>
    <n v="0.52149999999999996"/>
  </r>
  <r>
    <x v="1"/>
    <n v="0.3"/>
    <n v="64"/>
    <b v="0"/>
    <s v="OFF"/>
    <s v="rmsprop"/>
    <x v="0"/>
    <n v="35"/>
    <n v="0.87649999999999995"/>
    <n v="0.73919999999999997"/>
    <n v="1.8580000000000001"/>
    <n v="0.52349999999999997"/>
  </r>
  <r>
    <x v="1"/>
    <n v="0.3"/>
    <n v="64"/>
    <b v="0"/>
    <s v="OFF"/>
    <s v="rmsprop"/>
    <x v="3"/>
    <n v="34"/>
    <n v="0.82520000000000004"/>
    <n v="0.75619999999999998"/>
    <n v="1.8506"/>
    <n v="0.53249999999999997"/>
  </r>
  <r>
    <x v="1"/>
    <n v="0.3"/>
    <n v="64"/>
    <b v="0"/>
    <s v="OFF"/>
    <s v="rmsprop"/>
    <x v="4"/>
    <n v="34"/>
    <n v="0.76"/>
    <n v="0.77290000000000003"/>
    <n v="1.8594999999999999"/>
    <n v="0.53149999999999997"/>
  </r>
  <r>
    <x v="1"/>
    <n v="0.3"/>
    <n v="64"/>
    <b v="0"/>
    <s v="OFF"/>
    <s v="rmsprop"/>
    <x v="1"/>
    <n v="35"/>
    <n v="0.70730000000000004"/>
    <n v="0.78839999999999999"/>
    <n v="1.8136000000000001"/>
    <n v="0.54400000000000004"/>
  </r>
  <r>
    <x v="1"/>
    <n v="0.3"/>
    <n v="64"/>
    <b v="0"/>
    <s v="ON"/>
    <s v="adam"/>
    <x v="5"/>
    <n v="36"/>
    <n v="0.43580000000000002"/>
    <n v="0.88080000000000003"/>
    <n v="1.9365000000000001"/>
    <n v="0.52500000000000002"/>
  </r>
  <r>
    <x v="1"/>
    <n v="0.3"/>
    <n v="64"/>
    <b v="0"/>
    <s v="ON"/>
    <s v="adam"/>
    <x v="2"/>
    <n v="35"/>
    <n v="0.36449999999999999"/>
    <n v="0.89900000000000002"/>
    <n v="2.0186999999999999"/>
    <n v="0.52"/>
  </r>
  <r>
    <x v="1"/>
    <n v="0.3"/>
    <n v="64"/>
    <b v="0"/>
    <s v="ON"/>
    <s v="adam"/>
    <x v="0"/>
    <n v="36"/>
    <n v="0.31680000000000003"/>
    <n v="0.9143"/>
    <n v="2.0871"/>
    <n v="0.52200000000000002"/>
  </r>
  <r>
    <x v="1"/>
    <n v="0.3"/>
    <n v="64"/>
    <b v="0"/>
    <s v="ON"/>
    <s v="adam"/>
    <x v="3"/>
    <n v="36"/>
    <n v="0.2903"/>
    <n v="0.92210000000000003"/>
    <n v="2.1440999999999999"/>
    <n v="0.52449999999999997"/>
  </r>
  <r>
    <x v="1"/>
    <n v="0.3"/>
    <n v="64"/>
    <b v="0"/>
    <s v="ON"/>
    <s v="adam"/>
    <x v="4"/>
    <n v="39"/>
    <n v="0.25690000000000002"/>
    <n v="0.93030000000000002"/>
    <n v="2.2242000000000002"/>
    <n v="0.51100000000000001"/>
  </r>
  <r>
    <x v="1"/>
    <n v="0.3"/>
    <n v="64"/>
    <b v="0"/>
    <s v="ON"/>
    <s v="adam"/>
    <x v="1"/>
    <n v="34"/>
    <n v="0.22209999999999999"/>
    <n v="0.93910000000000005"/>
    <n v="2.3071000000000002"/>
    <n v="0.50949999999999995"/>
  </r>
  <r>
    <x v="1"/>
    <n v="0.3"/>
    <n v="64"/>
    <b v="0"/>
    <s v="ON"/>
    <s v="rmsprop"/>
    <x v="5"/>
    <n v="37"/>
    <n v="1.2625999999999999"/>
    <n v="0.62790000000000001"/>
    <n v="1.724"/>
    <n v="0.54049999999999998"/>
  </r>
  <r>
    <x v="1"/>
    <n v="0.3"/>
    <n v="64"/>
    <b v="0"/>
    <s v="ON"/>
    <s v="rmsprop"/>
    <x v="2"/>
    <n v="33"/>
    <n v="1.1728000000000001"/>
    <n v="0.65049999999999997"/>
    <n v="1.6947000000000001"/>
    <n v="0.54849999999999999"/>
  </r>
  <r>
    <x v="1"/>
    <n v="0.3"/>
    <n v="64"/>
    <b v="0"/>
    <s v="ON"/>
    <s v="rmsprop"/>
    <x v="0"/>
    <n v="33"/>
    <n v="1.0881000000000001"/>
    <n v="0.68049999999999999"/>
    <n v="1.6950000000000001"/>
    <n v="0.55349999999999999"/>
  </r>
  <r>
    <x v="1"/>
    <n v="0.3"/>
    <n v="64"/>
    <b v="0"/>
    <s v="ON"/>
    <s v="rmsprop"/>
    <x v="3"/>
    <n v="36"/>
    <n v="1.0071000000000001"/>
    <n v="0.69950000000000001"/>
    <n v="1.7031000000000001"/>
    <n v="0.56100000000000005"/>
  </r>
  <r>
    <x v="1"/>
    <n v="0.3"/>
    <n v="64"/>
    <b v="0"/>
    <s v="ON"/>
    <s v="rmsprop"/>
    <x v="4"/>
    <n v="35"/>
    <n v="0.95050000000000001"/>
    <n v="0.71840000000000004"/>
    <n v="1.6904999999999999"/>
    <n v="0.55900000000000005"/>
  </r>
  <r>
    <x v="1"/>
    <n v="0.3"/>
    <n v="64"/>
    <b v="0"/>
    <s v="ON"/>
    <s v="rmsprop"/>
    <x v="1"/>
    <n v="34"/>
    <n v="0.8821"/>
    <n v="0.74439999999999995"/>
    <n v="1.6727000000000001"/>
    <n v="0.56299999999999994"/>
  </r>
  <r>
    <x v="1"/>
    <n v="0.3"/>
    <n v="128"/>
    <b v="0"/>
    <s v="OFF"/>
    <s v="adam"/>
    <x v="5"/>
    <n v="59"/>
    <n v="0.28910000000000002"/>
    <n v="0.91520000000000001"/>
    <n v="2.1934"/>
    <n v="0.50800000000000001"/>
  </r>
  <r>
    <x v="1"/>
    <n v="0.3"/>
    <n v="128"/>
    <b v="0"/>
    <s v="OFF"/>
    <s v="adam"/>
    <x v="2"/>
    <n v="58"/>
    <n v="0.24979999999999999"/>
    <n v="0.92649999999999999"/>
    <n v="2.2124999999999999"/>
    <n v="0.52400000000000002"/>
  </r>
  <r>
    <x v="1"/>
    <n v="0.3"/>
    <n v="128"/>
    <b v="0"/>
    <s v="OFF"/>
    <s v="adam"/>
    <x v="0"/>
    <n v="59"/>
    <n v="0.2319"/>
    <n v="0.93210000000000004"/>
    <n v="2.1265000000000001"/>
    <n v="0.53100000000000003"/>
  </r>
  <r>
    <x v="1"/>
    <n v="0.3"/>
    <n v="128"/>
    <b v="0"/>
    <s v="OFF"/>
    <s v="adam"/>
    <x v="3"/>
    <n v="58"/>
    <n v="0.20669999999999999"/>
    <n v="0.93769999999999998"/>
    <n v="2.2018"/>
    <n v="0.52749999999999997"/>
  </r>
  <r>
    <x v="1"/>
    <n v="0.3"/>
    <n v="128"/>
    <b v="0"/>
    <s v="OFF"/>
    <s v="adam"/>
    <x v="4"/>
    <n v="58"/>
    <n v="0.1915"/>
    <n v="0.94689999999999996"/>
    <n v="2.2338"/>
    <n v="0.51849999999999996"/>
  </r>
  <r>
    <x v="1"/>
    <n v="0.3"/>
    <n v="128"/>
    <b v="0"/>
    <s v="OFF"/>
    <s v="adam"/>
    <x v="1"/>
    <n v="58"/>
    <n v="0.17230000000000001"/>
    <n v="0.94840000000000002"/>
    <n v="2.2810000000000001"/>
    <n v="0.53200000000000003"/>
  </r>
  <r>
    <x v="1"/>
    <n v="0.3"/>
    <n v="128"/>
    <b v="0"/>
    <s v="OFF"/>
    <s v="rmsprop"/>
    <x v="5"/>
    <n v="58"/>
    <n v="0.86329999999999996"/>
    <n v="0.74280000000000002"/>
    <n v="1.7229000000000001"/>
    <n v="0.55300000000000005"/>
  </r>
  <r>
    <x v="1"/>
    <n v="0.3"/>
    <n v="128"/>
    <b v="0"/>
    <s v="OFF"/>
    <s v="rmsprop"/>
    <x v="2"/>
    <n v="58"/>
    <n v="0.79490000000000005"/>
    <n v="0.76439999999999997"/>
    <n v="1.7451000000000001"/>
    <n v="0.54749999999999999"/>
  </r>
  <r>
    <x v="1"/>
    <n v="0.3"/>
    <n v="128"/>
    <b v="0"/>
    <s v="OFF"/>
    <s v="rmsprop"/>
    <x v="0"/>
    <n v="58"/>
    <n v="0.7319"/>
    <n v="0.77890000000000004"/>
    <n v="1.7057"/>
    <n v="0.5615"/>
  </r>
  <r>
    <x v="1"/>
    <n v="0.3"/>
    <n v="128"/>
    <b v="0"/>
    <s v="OFF"/>
    <s v="rmsprop"/>
    <x v="3"/>
    <n v="58"/>
    <n v="0.6482"/>
    <n v="0.81240000000000001"/>
    <n v="1.8303"/>
    <n v="0.52249999999999996"/>
  </r>
  <r>
    <x v="1"/>
    <n v="0.3"/>
    <n v="128"/>
    <b v="0"/>
    <s v="OFF"/>
    <s v="rmsprop"/>
    <x v="4"/>
    <n v="58"/>
    <n v="0.60550000000000004"/>
    <n v="0.8165"/>
    <n v="1.8372999999999999"/>
    <n v="0.54649999999999999"/>
  </r>
  <r>
    <x v="1"/>
    <n v="0.3"/>
    <n v="128"/>
    <b v="0"/>
    <s v="OFF"/>
    <s v="rmsprop"/>
    <x v="1"/>
    <n v="58"/>
    <n v="0.55120000000000002"/>
    <n v="0.83250000000000002"/>
    <n v="1.88"/>
    <n v="0.53700000000000003"/>
  </r>
  <r>
    <x v="1"/>
    <n v="0.3"/>
    <n v="128"/>
    <b v="0"/>
    <s v="ON"/>
    <s v="adam"/>
    <x v="5"/>
    <n v="60"/>
    <n v="0.35720000000000002"/>
    <n v="0.89780000000000004"/>
    <n v="1.9637"/>
    <n v="0.53249999999999997"/>
  </r>
  <r>
    <x v="1"/>
    <n v="0.3"/>
    <n v="128"/>
    <b v="0"/>
    <s v="ON"/>
    <s v="adam"/>
    <x v="2"/>
    <n v="60"/>
    <n v="0.30859999999999999"/>
    <n v="0.91100000000000003"/>
    <n v="1.954"/>
    <n v="0.54449999999999998"/>
  </r>
  <r>
    <x v="1"/>
    <n v="0.3"/>
    <n v="128"/>
    <b v="0"/>
    <s v="ON"/>
    <s v="adam"/>
    <x v="0"/>
    <n v="67"/>
    <n v="0.25480000000000003"/>
    <n v="0.92589999999999995"/>
    <n v="2.0556000000000001"/>
    <n v="0.54349999999999998"/>
  </r>
  <r>
    <x v="1"/>
    <n v="0.3"/>
    <n v="128"/>
    <b v="0"/>
    <s v="ON"/>
    <s v="adam"/>
    <x v="3"/>
    <n v="63"/>
    <n v="0.2298"/>
    <n v="0.93340000000000001"/>
    <n v="2.0817999999999999"/>
    <n v="0.54549999999999998"/>
  </r>
  <r>
    <x v="1"/>
    <n v="0.3"/>
    <n v="128"/>
    <b v="0"/>
    <s v="ON"/>
    <s v="adam"/>
    <x v="4"/>
    <n v="62"/>
    <n v="0.20499999999999999"/>
    <n v="0.93889999999999996"/>
    <n v="2.1236999999999999"/>
    <n v="0.54149999999999998"/>
  </r>
  <r>
    <x v="1"/>
    <n v="0.3"/>
    <n v="128"/>
    <b v="0"/>
    <s v="ON"/>
    <s v="adam"/>
    <x v="1"/>
    <n v="64"/>
    <n v="0.18920000000000001"/>
    <n v="0.94510000000000005"/>
    <n v="2.1957"/>
    <n v="0.52549999999999997"/>
  </r>
  <r>
    <x v="1"/>
    <n v="0.3"/>
    <n v="128"/>
    <b v="0"/>
    <s v="ON"/>
    <s v="rmsprop"/>
    <x v="5"/>
    <n v="60"/>
    <n v="1.0611999999999999"/>
    <n v="0.6875"/>
    <n v="1.6368"/>
    <n v="0.55500000000000005"/>
  </r>
  <r>
    <x v="1"/>
    <n v="0.3"/>
    <n v="128"/>
    <b v="0"/>
    <s v="ON"/>
    <s v="rmsprop"/>
    <x v="2"/>
    <n v="60"/>
    <n v="1.0066999999999999"/>
    <n v="0.7"/>
    <n v="1.6620999999999999"/>
    <n v="0.56000000000000005"/>
  </r>
  <r>
    <x v="1"/>
    <n v="0.3"/>
    <n v="128"/>
    <b v="0"/>
    <s v="ON"/>
    <s v="rmsprop"/>
    <x v="0"/>
    <n v="63"/>
    <n v="0.93710000000000004"/>
    <n v="0.72450000000000003"/>
    <n v="1.6677999999999999"/>
    <n v="0.55449999999999999"/>
  </r>
  <r>
    <x v="1"/>
    <n v="0.3"/>
    <n v="128"/>
    <b v="0"/>
    <s v="ON"/>
    <s v="rmsprop"/>
    <x v="3"/>
    <n v="61"/>
    <n v="0.86539999999999995"/>
    <n v="0.74419999999999997"/>
    <n v="1.6264000000000001"/>
    <n v="0.55900000000000005"/>
  </r>
  <r>
    <x v="1"/>
    <n v="0.3"/>
    <n v="128"/>
    <b v="0"/>
    <s v="ON"/>
    <s v="rmsprop"/>
    <x v="4"/>
    <n v="64"/>
    <n v="0.80859999999999999"/>
    <n v="0.76749999999999996"/>
    <n v="1.6738999999999999"/>
    <n v="0.55200000000000005"/>
  </r>
  <r>
    <x v="1"/>
    <n v="0.3"/>
    <n v="128"/>
    <b v="0"/>
    <s v="ON"/>
    <s v="rmsprop"/>
    <x v="1"/>
    <n v="62"/>
    <n v="0.75249999999999995"/>
    <n v="0.78100000000000003"/>
    <n v="1.7115"/>
    <n v="0.55100000000000005"/>
  </r>
  <r>
    <x v="1"/>
    <n v="0.3"/>
    <n v="256"/>
    <b v="0"/>
    <s v="OFF"/>
    <s v="adam"/>
    <x v="5"/>
    <n v="113"/>
    <n v="0.29409999999999997"/>
    <n v="0.91390000000000005"/>
    <n v="2.028"/>
    <n v="0.53849999999999998"/>
  </r>
  <r>
    <x v="1"/>
    <n v="0.3"/>
    <n v="256"/>
    <b v="0"/>
    <s v="OFF"/>
    <s v="adam"/>
    <x v="2"/>
    <n v="112"/>
    <n v="0.24529999999999999"/>
    <n v="0.92310000000000003"/>
    <n v="2.0133000000000001"/>
    <n v="0.53849999999999998"/>
  </r>
  <r>
    <x v="1"/>
    <n v="0.3"/>
    <n v="256"/>
    <b v="0"/>
    <s v="OFF"/>
    <s v="adam"/>
    <x v="0"/>
    <n v="115"/>
    <n v="0.2341"/>
    <n v="0.93"/>
    <n v="2.0693000000000001"/>
    <n v="0.52449999999999997"/>
  </r>
  <r>
    <x v="1"/>
    <n v="0.3"/>
    <n v="256"/>
    <b v="0"/>
    <s v="OFF"/>
    <s v="adam"/>
    <x v="3"/>
    <n v="115"/>
    <n v="0.2006"/>
    <n v="0.94369999999999998"/>
    <n v="2.0840999999999998"/>
    <n v="0.52449999999999997"/>
  </r>
  <r>
    <x v="1"/>
    <n v="0.3"/>
    <n v="256"/>
    <b v="0"/>
    <s v="OFF"/>
    <s v="adam"/>
    <x v="4"/>
    <n v="114"/>
    <n v="0.18490000000000001"/>
    <n v="0.94489999999999996"/>
    <n v="2.1652"/>
    <n v="0.52649999999999997"/>
  </r>
  <r>
    <x v="1"/>
    <n v="0.3"/>
    <n v="256"/>
    <b v="0"/>
    <s v="OFF"/>
    <s v="adam"/>
    <x v="1"/>
    <n v="115"/>
    <n v="0.16309999999999999"/>
    <n v="0.95089999999999997"/>
    <n v="2.2416"/>
    <n v="0.52600000000000002"/>
  </r>
  <r>
    <x v="1"/>
    <n v="0.3"/>
    <n v="256"/>
    <b v="0"/>
    <s v="OFF"/>
    <s v="rmsprop"/>
    <x v="5"/>
    <n v="115"/>
    <n v="0.84509999999999996"/>
    <n v="0.74760000000000004"/>
    <n v="1.7364999999999999"/>
    <n v="0.53949999999999998"/>
  </r>
  <r>
    <x v="1"/>
    <n v="0.3"/>
    <n v="256"/>
    <b v="0"/>
    <s v="OFF"/>
    <s v="rmsprop"/>
    <x v="2"/>
    <n v="115"/>
    <n v="0.76690000000000003"/>
    <n v="0.76880000000000004"/>
    <n v="1.6671"/>
    <n v="0.56599999999999995"/>
  </r>
  <r>
    <x v="1"/>
    <n v="0.3"/>
    <n v="256"/>
    <b v="0"/>
    <s v="OFF"/>
    <s v="rmsprop"/>
    <x v="0"/>
    <n v="115"/>
    <n v="0.71309999999999996"/>
    <n v="0.78710000000000002"/>
    <n v="1.7745"/>
    <n v="0.55700000000000005"/>
  </r>
  <r>
    <x v="1"/>
    <n v="0.3"/>
    <n v="256"/>
    <b v="0"/>
    <s v="OFF"/>
    <s v="rmsprop"/>
    <x v="3"/>
    <n v="114"/>
    <n v="0.64490000000000003"/>
    <n v="0.81079999999999997"/>
    <n v="1.7118"/>
    <n v="0.5585"/>
  </r>
  <r>
    <x v="1"/>
    <n v="0.3"/>
    <n v="256"/>
    <b v="0"/>
    <s v="OFF"/>
    <s v="rmsprop"/>
    <x v="4"/>
    <n v="114"/>
    <n v="0.57650000000000001"/>
    <n v="0.82289999999999996"/>
    <n v="1.7890999999999999"/>
    <n v="0.55200000000000005"/>
  </r>
  <r>
    <x v="1"/>
    <n v="0.3"/>
    <n v="256"/>
    <b v="0"/>
    <s v="OFF"/>
    <s v="rmsprop"/>
    <x v="1"/>
    <n v="113"/>
    <n v="0.53600000000000003"/>
    <n v="0.83589999999999998"/>
    <n v="1.8609"/>
    <n v="0.55549999999999999"/>
  </r>
  <r>
    <x v="1"/>
    <n v="0.3"/>
    <n v="256"/>
    <b v="0"/>
    <s v="ON"/>
    <s v="adam"/>
    <x v="5"/>
    <n v="120"/>
    <n v="0.34050000000000002"/>
    <n v="0.90339999999999998"/>
    <n v="1.9975000000000001"/>
    <n v="0.53549999999999998"/>
  </r>
  <r>
    <x v="1"/>
    <n v="0.3"/>
    <n v="256"/>
    <b v="0"/>
    <s v="ON"/>
    <s v="adam"/>
    <x v="2"/>
    <n v="120"/>
    <n v="0.28079999999999999"/>
    <n v="0.91649999999999998"/>
    <n v="1.9462999999999999"/>
    <n v="0.54700000000000004"/>
  </r>
  <r>
    <x v="1"/>
    <n v="0.3"/>
    <n v="256"/>
    <b v="0"/>
    <s v="ON"/>
    <s v="adam"/>
    <x v="0"/>
    <n v="116"/>
    <n v="0.2535"/>
    <n v="0.92210000000000003"/>
    <n v="2.1320999999999999"/>
    <n v="0.53200000000000003"/>
  </r>
  <r>
    <x v="1"/>
    <n v="0.3"/>
    <n v="256"/>
    <b v="0"/>
    <s v="ON"/>
    <s v="adam"/>
    <x v="3"/>
    <n v="119"/>
    <n v="0.23499999999999999"/>
    <n v="0.9325"/>
    <n v="2.0960999999999999"/>
    <n v="0.54600000000000004"/>
  </r>
  <r>
    <x v="1"/>
    <n v="0.3"/>
    <n v="256"/>
    <b v="0"/>
    <s v="ON"/>
    <s v="adam"/>
    <x v="4"/>
    <n v="123"/>
    <n v="0.21659999999999999"/>
    <n v="0.93810000000000004"/>
    <n v="2.1356000000000002"/>
    <n v="0.53600000000000003"/>
  </r>
  <r>
    <x v="1"/>
    <n v="0.3"/>
    <n v="256"/>
    <b v="0"/>
    <s v="ON"/>
    <s v="adam"/>
    <x v="1"/>
    <n v="120"/>
    <n v="0.1706"/>
    <n v="0.94910000000000005"/>
    <n v="2.2113"/>
    <n v="0.54649999999999999"/>
  </r>
  <r>
    <x v="1"/>
    <n v="0.3"/>
    <n v="256"/>
    <b v="0"/>
    <s v="ON"/>
    <s v="rmsprop"/>
    <x v="5"/>
    <n v="119"/>
    <n v="1.0432999999999999"/>
    <n v="0.68559999999999999"/>
    <n v="1.6733"/>
    <n v="0.55149999999999999"/>
  </r>
  <r>
    <x v="1"/>
    <n v="0.3"/>
    <n v="256"/>
    <b v="0"/>
    <s v="ON"/>
    <s v="rmsprop"/>
    <x v="2"/>
    <n v="119"/>
    <n v="0.96830000000000005"/>
    <n v="0.70740000000000003"/>
    <n v="1.7096"/>
    <n v="0.54500000000000004"/>
  </r>
  <r>
    <x v="1"/>
    <n v="0.3"/>
    <n v="256"/>
    <b v="0"/>
    <s v="ON"/>
    <s v="rmsprop"/>
    <x v="0"/>
    <n v="119"/>
    <n v="0.91159999999999997"/>
    <n v="0.73050000000000004"/>
    <n v="1.7553000000000001"/>
    <n v="0.54049999999999998"/>
  </r>
  <r>
    <x v="1"/>
    <n v="0.3"/>
    <n v="256"/>
    <b v="0"/>
    <s v="ON"/>
    <s v="rmsprop"/>
    <x v="3"/>
    <n v="119"/>
    <n v="0.81850000000000001"/>
    <n v="0.76029999999999998"/>
    <n v="1.7057"/>
    <n v="0.54349999999999998"/>
  </r>
  <r>
    <x v="1"/>
    <n v="0.3"/>
    <n v="256"/>
    <b v="0"/>
    <s v="ON"/>
    <s v="rmsprop"/>
    <x v="4"/>
    <n v="119"/>
    <n v="0.7621"/>
    <n v="0.77070000000000005"/>
    <n v="1.639"/>
    <n v="0.55700000000000005"/>
  </r>
  <r>
    <x v="1"/>
    <n v="0.3"/>
    <n v="256"/>
    <b v="0"/>
    <s v="ON"/>
    <s v="rmsprop"/>
    <x v="1"/>
    <n v="120"/>
    <n v="0.71299999999999997"/>
    <n v="0.79110000000000003"/>
    <n v="1.7148000000000001"/>
    <n v="0.54549999999999998"/>
  </r>
  <r>
    <x v="1"/>
    <n v="0.5"/>
    <n v="64"/>
    <b v="0"/>
    <s v="OFF"/>
    <s v="adam"/>
    <x v="5"/>
    <n v="37"/>
    <n v="0.46610000000000001"/>
    <n v="0.86519999999999997"/>
    <n v="2.1118000000000001"/>
    <n v="0.52700000000000002"/>
  </r>
  <r>
    <x v="1"/>
    <n v="0.5"/>
    <n v="64"/>
    <b v="0"/>
    <s v="OFF"/>
    <s v="adam"/>
    <x v="2"/>
    <n v="37"/>
    <n v="0.42230000000000001"/>
    <n v="0.878"/>
    <n v="2.0956000000000001"/>
    <n v="0.51949999999999996"/>
  </r>
  <r>
    <x v="1"/>
    <n v="0.5"/>
    <n v="64"/>
    <b v="0"/>
    <s v="OFF"/>
    <s v="adam"/>
    <x v="0"/>
    <n v="37"/>
    <n v="0.38030000000000003"/>
    <n v="0.8861"/>
    <n v="2.1419000000000001"/>
    <n v="0.50549999999999995"/>
  </r>
  <r>
    <x v="1"/>
    <n v="0.5"/>
    <n v="64"/>
    <b v="0"/>
    <s v="OFF"/>
    <s v="adam"/>
    <x v="3"/>
    <n v="37"/>
    <n v="0.34089999999999998"/>
    <n v="0.90159999999999996"/>
    <n v="2.2450999999999999"/>
    <n v="0.501"/>
  </r>
  <r>
    <x v="1"/>
    <n v="0.5"/>
    <n v="64"/>
    <b v="0"/>
    <s v="OFF"/>
    <s v="adam"/>
    <x v="4"/>
    <n v="37"/>
    <n v="0.32269999999999999"/>
    <n v="0.90500000000000003"/>
    <n v="2.2625999999999999"/>
    <n v="0.52500000000000002"/>
  </r>
  <r>
    <x v="1"/>
    <n v="0.5"/>
    <n v="64"/>
    <b v="0"/>
    <s v="OFF"/>
    <s v="adam"/>
    <x v="1"/>
    <n v="37"/>
    <n v="0.2979"/>
    <n v="0.91679999999999995"/>
    <n v="2.2883"/>
    <n v="0.52649999999999997"/>
  </r>
  <r>
    <x v="1"/>
    <n v="0.5"/>
    <n v="64"/>
    <b v="0"/>
    <s v="OFF"/>
    <s v="rmsprop"/>
    <x v="5"/>
    <n v="36"/>
    <n v="1.1944999999999999"/>
    <n v="0.64339999999999997"/>
    <n v="1.7955000000000001"/>
    <n v="0.51249999999999996"/>
  </r>
  <r>
    <x v="1"/>
    <n v="0.5"/>
    <n v="64"/>
    <b v="0"/>
    <s v="OFF"/>
    <s v="rmsprop"/>
    <x v="2"/>
    <n v="36"/>
    <n v="1.0891999999999999"/>
    <n v="0.67349999999999999"/>
    <n v="1.7249000000000001"/>
    <n v="0.53949999999999998"/>
  </r>
  <r>
    <x v="1"/>
    <n v="0.5"/>
    <n v="64"/>
    <b v="0"/>
    <s v="OFF"/>
    <s v="rmsprop"/>
    <x v="0"/>
    <n v="36"/>
    <n v="1.0039"/>
    <n v="0.69850000000000001"/>
    <n v="1.7250000000000001"/>
    <n v="0.54649999999999999"/>
  </r>
  <r>
    <x v="1"/>
    <n v="0.5"/>
    <n v="64"/>
    <b v="0"/>
    <s v="OFF"/>
    <s v="rmsprop"/>
    <x v="3"/>
    <n v="36"/>
    <n v="0.95050000000000001"/>
    <n v="0.71919999999999995"/>
    <n v="1.7415"/>
    <n v="0.54800000000000004"/>
  </r>
  <r>
    <x v="1"/>
    <n v="0.5"/>
    <n v="64"/>
    <b v="0"/>
    <s v="OFF"/>
    <s v="rmsprop"/>
    <x v="4"/>
    <n v="36"/>
    <n v="0.89859999999999995"/>
    <n v="0.73460000000000003"/>
    <n v="1.7366999999999999"/>
    <n v="0.54549999999999998"/>
  </r>
  <r>
    <x v="1"/>
    <n v="0.5"/>
    <n v="64"/>
    <b v="0"/>
    <s v="OFF"/>
    <s v="rmsprop"/>
    <x v="1"/>
    <n v="36"/>
    <n v="0.84279999999999999"/>
    <n v="0.75209999999999999"/>
    <n v="1.7807999999999999"/>
    <n v="0.54649999999999999"/>
  </r>
  <r>
    <x v="1"/>
    <n v="0.5"/>
    <n v="64"/>
    <b v="0"/>
    <s v="ON"/>
    <s v="adam"/>
    <x v="5"/>
    <n v="38"/>
    <n v="0.64239999999999997"/>
    <n v="0.81259999999999999"/>
    <n v="1.8624000000000001"/>
    <n v="0.52900000000000003"/>
  </r>
  <r>
    <x v="1"/>
    <n v="0.5"/>
    <n v="64"/>
    <b v="0"/>
    <s v="ON"/>
    <s v="adam"/>
    <x v="2"/>
    <n v="38"/>
    <n v="0.54869999999999997"/>
    <n v="0.84450000000000003"/>
    <n v="1.9007000000000001"/>
    <n v="0.53449999999999998"/>
  </r>
  <r>
    <x v="1"/>
    <n v="0.5"/>
    <n v="64"/>
    <b v="0"/>
    <s v="ON"/>
    <s v="adam"/>
    <x v="0"/>
    <n v="38"/>
    <n v="0.50839999999999996"/>
    <n v="0.8538"/>
    <n v="1.9079999999999999"/>
    <n v="0.54349999999999998"/>
  </r>
  <r>
    <x v="1"/>
    <n v="0.5"/>
    <n v="64"/>
    <b v="0"/>
    <s v="ON"/>
    <s v="adam"/>
    <x v="3"/>
    <n v="38"/>
    <n v="0.42520000000000002"/>
    <n v="0.87890000000000001"/>
    <n v="1.9422999999999999"/>
    <n v="0.55649999999999999"/>
  </r>
  <r>
    <x v="1"/>
    <n v="0.5"/>
    <n v="64"/>
    <b v="0"/>
    <s v="ON"/>
    <s v="adam"/>
    <x v="4"/>
    <n v="38"/>
    <n v="0.3952"/>
    <n v="0.88700000000000001"/>
    <n v="1.9711000000000001"/>
    <n v="0.54649999999999999"/>
  </r>
  <r>
    <x v="1"/>
    <n v="0.5"/>
    <n v="64"/>
    <b v="0"/>
    <s v="ON"/>
    <s v="adam"/>
    <x v="1"/>
    <n v="38"/>
    <n v="0.36220000000000002"/>
    <n v="0.89639999999999997"/>
    <n v="2.0356999999999998"/>
    <n v="0.54200000000000004"/>
  </r>
  <r>
    <x v="1"/>
    <n v="0.5"/>
    <n v="64"/>
    <b v="0"/>
    <s v="ON"/>
    <s v="rmsprop"/>
    <x v="5"/>
    <n v="39"/>
    <n v="1.3940999999999999"/>
    <n v="0.58499999999999996"/>
    <n v="1.7745"/>
    <n v="0.51349999999999996"/>
  </r>
  <r>
    <x v="1"/>
    <n v="0.5"/>
    <n v="64"/>
    <b v="0"/>
    <s v="ON"/>
    <s v="rmsprop"/>
    <x v="2"/>
    <n v="40"/>
    <n v="1.2938000000000001"/>
    <n v="0.61050000000000004"/>
    <n v="1.7628999999999999"/>
    <n v="0.51949999999999996"/>
  </r>
  <r>
    <x v="1"/>
    <n v="0.5"/>
    <n v="64"/>
    <b v="0"/>
    <s v="ON"/>
    <s v="rmsprop"/>
    <x v="0"/>
    <n v="40"/>
    <n v="1.2408999999999999"/>
    <n v="0.63160000000000005"/>
    <n v="1.7119"/>
    <n v="0.53900000000000003"/>
  </r>
  <r>
    <x v="1"/>
    <n v="0.5"/>
    <n v="64"/>
    <b v="0"/>
    <s v="ON"/>
    <s v="rmsprop"/>
    <x v="3"/>
    <n v="39"/>
    <n v="1.1850000000000001"/>
    <n v="0.64449999999999996"/>
    <n v="1.6915"/>
    <n v="0.54649999999999999"/>
  </r>
  <r>
    <x v="1"/>
    <n v="0.5"/>
    <n v="64"/>
    <b v="0"/>
    <s v="ON"/>
    <s v="rmsprop"/>
    <x v="4"/>
    <n v="39"/>
    <n v="1.1357999999999999"/>
    <n v="0.66690000000000005"/>
    <n v="1.6559999999999999"/>
    <n v="0.55649999999999999"/>
  </r>
  <r>
    <x v="1"/>
    <n v="0.5"/>
    <n v="64"/>
    <b v="0"/>
    <s v="ON"/>
    <s v="rmsprop"/>
    <x v="1"/>
    <n v="39"/>
    <n v="1.0564"/>
    <n v="0.69089999999999996"/>
    <n v="1.6901999999999999"/>
    <n v="0.54600000000000004"/>
  </r>
  <r>
    <x v="1"/>
    <n v="0.5"/>
    <n v="128"/>
    <b v="0"/>
    <s v="OFF"/>
    <s v="adam"/>
    <x v="5"/>
    <n v="59"/>
    <n v="0.42249999999999999"/>
    <n v="0.875"/>
    <n v="2.0407999999999999"/>
    <n v="0.51649999999999996"/>
  </r>
  <r>
    <x v="1"/>
    <n v="0.5"/>
    <n v="128"/>
    <b v="0"/>
    <s v="OFF"/>
    <s v="adam"/>
    <x v="2"/>
    <n v="59"/>
    <n v="0.3569"/>
    <n v="0.89219999999999999"/>
    <n v="2.048"/>
    <n v="0.52249999999999996"/>
  </r>
  <r>
    <x v="1"/>
    <n v="0.5"/>
    <n v="128"/>
    <b v="0"/>
    <s v="OFF"/>
    <s v="adam"/>
    <x v="0"/>
    <n v="59"/>
    <n v="0.34200000000000003"/>
    <n v="0.89949999999999997"/>
    <n v="2.0590999999999999"/>
    <n v="0.52749999999999997"/>
  </r>
  <r>
    <x v="1"/>
    <n v="0.5"/>
    <n v="128"/>
    <b v="0"/>
    <s v="OFF"/>
    <s v="adam"/>
    <x v="3"/>
    <n v="59"/>
    <n v="0.32440000000000002"/>
    <n v="0.90439999999999998"/>
    <n v="2.1166999999999998"/>
    <n v="0.54549999999999998"/>
  </r>
  <r>
    <x v="1"/>
    <n v="0.5"/>
    <n v="128"/>
    <b v="0"/>
    <s v="OFF"/>
    <s v="adam"/>
    <x v="4"/>
    <n v="59"/>
    <n v="0.25840000000000002"/>
    <n v="0.91949999999999998"/>
    <n v="2.2275999999999998"/>
    <n v="0.52149999999999996"/>
  </r>
  <r>
    <x v="1"/>
    <n v="0.5"/>
    <n v="128"/>
    <b v="0"/>
    <s v="OFF"/>
    <s v="adam"/>
    <x v="1"/>
    <n v="59"/>
    <n v="0.2576"/>
    <n v="0.92300000000000004"/>
    <n v="2.1863000000000001"/>
    <n v="0.53100000000000003"/>
  </r>
  <r>
    <x v="1"/>
    <n v="0.5"/>
    <n v="128"/>
    <b v="0"/>
    <s v="OFF"/>
    <s v="rmsprop"/>
    <x v="5"/>
    <n v="58"/>
    <n v="1.0277000000000001"/>
    <n v="0.6925"/>
    <n v="1.7102999999999999"/>
    <n v="0.54049999999999998"/>
  </r>
  <r>
    <x v="1"/>
    <n v="0.5"/>
    <n v="128"/>
    <b v="0"/>
    <s v="OFF"/>
    <s v="rmsprop"/>
    <x v="2"/>
    <n v="58"/>
    <n v="0.96250000000000002"/>
    <n v="0.71689999999999998"/>
    <n v="1.6711"/>
    <n v="0.54449999999999998"/>
  </r>
  <r>
    <x v="1"/>
    <n v="0.5"/>
    <n v="128"/>
    <b v="0"/>
    <s v="OFF"/>
    <s v="rmsprop"/>
    <x v="0"/>
    <n v="58"/>
    <n v="0.89229999999999998"/>
    <n v="0.73370000000000002"/>
    <n v="1.6407"/>
    <n v="0.55449999999999999"/>
  </r>
  <r>
    <x v="1"/>
    <n v="0.5"/>
    <n v="128"/>
    <b v="0"/>
    <s v="OFF"/>
    <s v="rmsprop"/>
    <x v="3"/>
    <n v="58"/>
    <n v="0.83930000000000005"/>
    <n v="0.74939999999999996"/>
    <n v="1.7178"/>
    <n v="0.54949999999999999"/>
  </r>
  <r>
    <x v="1"/>
    <n v="0.5"/>
    <n v="128"/>
    <b v="0"/>
    <s v="OFF"/>
    <s v="rmsprop"/>
    <x v="4"/>
    <n v="61"/>
    <n v="0.77539999999999998"/>
    <n v="0.76959999999999995"/>
    <n v="1.7491000000000001"/>
    <n v="0.54200000000000004"/>
  </r>
  <r>
    <x v="1"/>
    <n v="0.5"/>
    <n v="128"/>
    <b v="0"/>
    <s v="OFF"/>
    <s v="rmsprop"/>
    <x v="1"/>
    <n v="58"/>
    <n v="0.73229999999999995"/>
    <n v="0.78090000000000004"/>
    <n v="1.6818"/>
    <n v="0.55500000000000005"/>
  </r>
  <r>
    <x v="1"/>
    <n v="0.5"/>
    <n v="128"/>
    <b v="0"/>
    <s v="ON"/>
    <s v="adam"/>
    <x v="5"/>
    <n v="61"/>
    <n v="0.54490000000000005"/>
    <n v="0.83950000000000002"/>
    <n v="1.776"/>
    <n v="0.55900000000000005"/>
  </r>
  <r>
    <x v="1"/>
    <n v="0.5"/>
    <n v="128"/>
    <b v="0"/>
    <s v="ON"/>
    <s v="adam"/>
    <x v="2"/>
    <n v="61"/>
    <n v="0.46800000000000003"/>
    <n v="0.8629"/>
    <n v="1.8262"/>
    <n v="0.53749999999999998"/>
  </r>
  <r>
    <x v="1"/>
    <n v="0.5"/>
    <n v="128"/>
    <b v="0"/>
    <s v="ON"/>
    <s v="adam"/>
    <x v="0"/>
    <n v="61"/>
    <n v="0.41399999999999998"/>
    <n v="0.87549999999999994"/>
    <n v="1.8562000000000001"/>
    <n v="0.54649999999999999"/>
  </r>
  <r>
    <x v="1"/>
    <n v="0.5"/>
    <n v="128"/>
    <b v="0"/>
    <s v="ON"/>
    <s v="adam"/>
    <x v="3"/>
    <n v="62"/>
    <n v="0.37640000000000001"/>
    <n v="0.88719999999999999"/>
    <n v="1.8843000000000001"/>
    <n v="0.55349999999999999"/>
  </r>
  <r>
    <x v="1"/>
    <n v="0.5"/>
    <n v="128"/>
    <b v="0"/>
    <s v="ON"/>
    <s v="adam"/>
    <x v="4"/>
    <n v="61"/>
    <n v="0.33789999999999998"/>
    <n v="0.90290000000000004"/>
    <n v="1.9470000000000001"/>
    <n v="0.55149999999999999"/>
  </r>
  <r>
    <x v="1"/>
    <n v="0.5"/>
    <n v="128"/>
    <b v="0"/>
    <s v="ON"/>
    <s v="adam"/>
    <x v="1"/>
    <n v="61"/>
    <n v="0.30859999999999999"/>
    <n v="0.91190000000000004"/>
    <n v="1.9359999999999999"/>
    <n v="0.54200000000000004"/>
  </r>
  <r>
    <x v="1"/>
    <n v="0.5"/>
    <n v="128"/>
    <b v="0"/>
    <s v="ON"/>
    <s v="rmsprop"/>
    <x v="5"/>
    <n v="61"/>
    <n v="1.2748999999999999"/>
    <n v="0.61209999999999998"/>
    <n v="1.6859999999999999"/>
    <n v="0.54249999999999998"/>
  </r>
  <r>
    <x v="1"/>
    <n v="0.5"/>
    <n v="128"/>
    <b v="0"/>
    <s v="ON"/>
    <s v="rmsprop"/>
    <x v="2"/>
    <n v="61"/>
    <n v="1.1859"/>
    <n v="0.64610000000000001"/>
    <n v="1.6675"/>
    <n v="0.54500000000000004"/>
  </r>
  <r>
    <x v="1"/>
    <n v="0.5"/>
    <n v="128"/>
    <b v="0"/>
    <s v="ON"/>
    <s v="rmsprop"/>
    <x v="0"/>
    <n v="61"/>
    <n v="1.1060000000000001"/>
    <n v="0.67279999999999995"/>
    <n v="1.6292"/>
    <n v="0.55249999999999999"/>
  </r>
  <r>
    <x v="1"/>
    <n v="0.5"/>
    <n v="128"/>
    <b v="0"/>
    <s v="ON"/>
    <s v="rmsprop"/>
    <x v="3"/>
    <n v="61"/>
    <n v="1.0429999999999999"/>
    <n v="0.6875"/>
    <n v="1.6319999999999999"/>
    <n v="0.5585"/>
  </r>
  <r>
    <x v="1"/>
    <n v="0.5"/>
    <n v="128"/>
    <b v="0"/>
    <s v="ON"/>
    <s v="rmsprop"/>
    <x v="4"/>
    <n v="61"/>
    <n v="1.0021"/>
    <n v="0.70689999999999997"/>
    <n v="1.6754"/>
    <n v="0.54900000000000004"/>
  </r>
  <r>
    <x v="1"/>
    <n v="0.5"/>
    <n v="128"/>
    <b v="0"/>
    <s v="ON"/>
    <s v="rmsprop"/>
    <x v="1"/>
    <n v="61"/>
    <n v="0.95069999999999999"/>
    <n v="0.71630000000000005"/>
    <n v="1.6247"/>
    <n v="0.55249999999999999"/>
  </r>
  <r>
    <x v="1"/>
    <n v="0.5"/>
    <n v="256"/>
    <b v="0"/>
    <s v="OFF"/>
    <s v="adam"/>
    <x v="5"/>
    <n v="116"/>
    <n v="0.39350000000000002"/>
    <n v="0.88339999999999996"/>
    <n v="1.8731"/>
    <n v="0.54700000000000004"/>
  </r>
  <r>
    <x v="1"/>
    <n v="0.5"/>
    <n v="256"/>
    <b v="0"/>
    <s v="OFF"/>
    <s v="adam"/>
    <x v="2"/>
    <n v="117"/>
    <n v="0.34810000000000002"/>
    <n v="0.89739999999999998"/>
    <n v="1.9120999999999999"/>
    <n v="0.53500000000000003"/>
  </r>
  <r>
    <x v="1"/>
    <n v="0.5"/>
    <n v="256"/>
    <b v="0"/>
    <s v="OFF"/>
    <s v="adam"/>
    <x v="0"/>
    <n v="117"/>
    <n v="0.30769999999999997"/>
    <n v="0.90710000000000002"/>
    <n v="1.8931"/>
    <n v="0.54949999999999999"/>
  </r>
  <r>
    <x v="1"/>
    <n v="0.5"/>
    <n v="256"/>
    <b v="0"/>
    <s v="OFF"/>
    <s v="adam"/>
    <x v="3"/>
    <n v="117"/>
    <n v="0.26150000000000001"/>
    <n v="0.92110000000000003"/>
    <n v="1.9630000000000001"/>
    <n v="0.54549999999999998"/>
  </r>
  <r>
    <x v="1"/>
    <n v="0.5"/>
    <n v="256"/>
    <b v="0"/>
    <s v="OFF"/>
    <s v="adam"/>
    <x v="4"/>
    <n v="117"/>
    <n v="0.24610000000000001"/>
    <n v="0.92889999999999995"/>
    <n v="2.0402"/>
    <n v="0.54700000000000004"/>
  </r>
  <r>
    <x v="1"/>
    <n v="0.5"/>
    <n v="256"/>
    <b v="0"/>
    <s v="OFF"/>
    <s v="adam"/>
    <x v="1"/>
    <n v="117"/>
    <n v="0.22239999999999999"/>
    <n v="0.93259999999999998"/>
    <n v="2.1109"/>
    <n v="0.52249999999999996"/>
  </r>
  <r>
    <x v="1"/>
    <n v="0.5"/>
    <n v="256"/>
    <b v="0"/>
    <s v="OFF"/>
    <s v="rmsprop"/>
    <x v="5"/>
    <n v="116"/>
    <n v="1.0350999999999999"/>
    <n v="0.68789999999999996"/>
    <n v="1.6573"/>
    <n v="0.55000000000000004"/>
  </r>
  <r>
    <x v="1"/>
    <n v="0.5"/>
    <n v="256"/>
    <b v="0"/>
    <s v="OFF"/>
    <s v="rmsprop"/>
    <x v="2"/>
    <n v="115"/>
    <n v="0.9728"/>
    <n v="0.70409999999999995"/>
    <n v="1.6774"/>
    <n v="0.55600000000000005"/>
  </r>
  <r>
    <x v="1"/>
    <n v="0.5"/>
    <n v="256"/>
    <b v="0"/>
    <s v="OFF"/>
    <s v="rmsprop"/>
    <x v="0"/>
    <n v="115"/>
    <n v="0.90600000000000003"/>
    <n v="0.7238"/>
    <n v="1.6475"/>
    <n v="0.55649999999999999"/>
  </r>
  <r>
    <x v="1"/>
    <n v="0.5"/>
    <n v="256"/>
    <b v="0"/>
    <s v="OFF"/>
    <s v="rmsprop"/>
    <x v="3"/>
    <n v="115"/>
    <n v="0.83020000000000005"/>
    <n v="0.74919999999999998"/>
    <n v="1.704"/>
    <n v="0.55149999999999999"/>
  </r>
  <r>
    <x v="1"/>
    <n v="0.5"/>
    <n v="256"/>
    <b v="0"/>
    <s v="OFF"/>
    <s v="rmsprop"/>
    <x v="4"/>
    <n v="115"/>
    <n v="0.78420000000000001"/>
    <n v="0.76719999999999999"/>
    <n v="1.7341"/>
    <n v="0.54449999999999998"/>
  </r>
  <r>
    <x v="1"/>
    <n v="0.5"/>
    <n v="256"/>
    <b v="0"/>
    <s v="OFF"/>
    <s v="rmsprop"/>
    <x v="1"/>
    <n v="115"/>
    <n v="0.71260000000000001"/>
    <n v="0.78159999999999996"/>
    <n v="1.7443"/>
    <n v="0.55600000000000005"/>
  </r>
  <r>
    <x v="1"/>
    <n v="0.5"/>
    <n v="256"/>
    <b v="0"/>
    <s v="ON"/>
    <s v="adam"/>
    <x v="5"/>
    <n v="119"/>
    <n v="0.45700000000000002"/>
    <n v="0.86409999999999998"/>
    <n v="1.8371"/>
    <n v="0.54200000000000004"/>
  </r>
  <r>
    <x v="1"/>
    <n v="0.5"/>
    <n v="256"/>
    <b v="0"/>
    <s v="ON"/>
    <s v="adam"/>
    <x v="2"/>
    <n v="119"/>
    <n v="0.40279999999999999"/>
    <n v="0.88080000000000003"/>
    <n v="1.8489"/>
    <n v="0.54649999999999999"/>
  </r>
  <r>
    <x v="1"/>
    <n v="0.5"/>
    <n v="256"/>
    <b v="0"/>
    <s v="ON"/>
    <s v="adam"/>
    <x v="0"/>
    <n v="118"/>
    <n v="0.34470000000000001"/>
    <n v="0.89590000000000003"/>
    <n v="1.9369000000000001"/>
    <n v="0.54200000000000004"/>
  </r>
  <r>
    <x v="1"/>
    <n v="0.5"/>
    <n v="256"/>
    <b v="0"/>
    <s v="ON"/>
    <s v="adam"/>
    <x v="3"/>
    <n v="119"/>
    <n v="0.31319999999999998"/>
    <n v="0.90900000000000003"/>
    <n v="1.9819"/>
    <n v="0.55100000000000005"/>
  </r>
  <r>
    <x v="1"/>
    <n v="0.5"/>
    <n v="256"/>
    <b v="0"/>
    <s v="ON"/>
    <s v="adam"/>
    <x v="4"/>
    <n v="119"/>
    <n v="0.2913"/>
    <n v="0.91539999999999999"/>
    <n v="1.9677"/>
    <n v="0.55300000000000005"/>
  </r>
  <r>
    <x v="1"/>
    <n v="0.5"/>
    <n v="256"/>
    <b v="0"/>
    <s v="ON"/>
    <s v="adam"/>
    <x v="1"/>
    <n v="119"/>
    <n v="0.25090000000000001"/>
    <n v="0.92769999999999997"/>
    <n v="2.0655000000000001"/>
    <n v="0.52549999999999997"/>
  </r>
  <r>
    <x v="1"/>
    <n v="0.5"/>
    <n v="256"/>
    <b v="0"/>
    <s v="ON"/>
    <s v="rmsprop"/>
    <x v="5"/>
    <n v="120"/>
    <n v="1.1919"/>
    <n v="0.64219999999999999"/>
    <n v="1.6545000000000001"/>
    <n v="0.55000000000000004"/>
  </r>
  <r>
    <x v="1"/>
    <n v="0.5"/>
    <n v="256"/>
    <b v="0"/>
    <s v="ON"/>
    <s v="rmsprop"/>
    <x v="2"/>
    <n v="120"/>
    <n v="1.1079000000000001"/>
    <n v="0.66959999999999997"/>
    <n v="1.6716"/>
    <n v="0.54900000000000004"/>
  </r>
  <r>
    <x v="1"/>
    <n v="0.5"/>
    <n v="256"/>
    <b v="0"/>
    <s v="ON"/>
    <s v="rmsprop"/>
    <x v="0"/>
    <n v="120"/>
    <n v="1.0327"/>
    <n v="0.68710000000000004"/>
    <n v="1.6281000000000001"/>
    <n v="0.55900000000000005"/>
  </r>
  <r>
    <x v="1"/>
    <n v="0.5"/>
    <n v="256"/>
    <b v="0"/>
    <s v="ON"/>
    <s v="rmsprop"/>
    <x v="3"/>
    <n v="120"/>
    <n v="0.98160000000000003"/>
    <n v="0.70150000000000001"/>
    <n v="1.5972999999999999"/>
    <n v="0.57350000000000001"/>
  </r>
  <r>
    <x v="1"/>
    <n v="0.5"/>
    <n v="256"/>
    <b v="0"/>
    <s v="ON"/>
    <s v="rmsprop"/>
    <x v="4"/>
    <n v="120"/>
    <n v="0.92490000000000006"/>
    <n v="0.72360000000000002"/>
    <n v="1.6735"/>
    <n v="0.55200000000000005"/>
  </r>
  <r>
    <x v="1"/>
    <n v="0.5"/>
    <n v="256"/>
    <b v="0"/>
    <s v="ON"/>
    <s v="rmsprop"/>
    <x v="1"/>
    <n v="120"/>
    <n v="0.86160000000000003"/>
    <n v="0.74039999999999995"/>
    <n v="1.6245000000000001"/>
    <n v="0.56699999999999995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80">
  <r>
    <x v="0"/>
    <n v="103"/>
    <n v="2.4089"/>
    <n v="0.2999"/>
    <n v="2.0985999999999998"/>
    <n v="0.40460000000000002"/>
    <x v="0"/>
  </r>
  <r>
    <x v="0"/>
    <n v="103"/>
    <n v="1.9858"/>
    <n v="0.42559999999999998"/>
    <n v="1.7864"/>
    <n v="0.4904"/>
    <x v="1"/>
  </r>
  <r>
    <x v="0"/>
    <n v="103"/>
    <n v="1.679"/>
    <n v="0.50929999999999997"/>
    <n v="1.5494000000000001"/>
    <n v="0.54759999999999998"/>
    <x v="2"/>
  </r>
  <r>
    <x v="0"/>
    <n v="103"/>
    <n v="1.4689000000000001"/>
    <n v="0.57010000000000005"/>
    <n v="1.4156"/>
    <n v="0.59160000000000001"/>
    <x v="3"/>
  </r>
  <r>
    <x v="0"/>
    <n v="103"/>
    <n v="1.3439000000000001"/>
    <n v="0.60260000000000002"/>
    <n v="1.4162999999999999"/>
    <n v="0.58879999999999999"/>
    <x v="4"/>
  </r>
  <r>
    <x v="0"/>
    <n v="103"/>
    <n v="1.2490000000000001"/>
    <n v="0.62549999999999994"/>
    <n v="1.3621000000000001"/>
    <n v="0.59899999999999998"/>
    <x v="5"/>
  </r>
  <r>
    <x v="0"/>
    <n v="103"/>
    <n v="1.1678999999999999"/>
    <n v="0.64949999999999997"/>
    <n v="1.3543000000000001"/>
    <n v="0.61319999999999997"/>
    <x v="6"/>
  </r>
  <r>
    <x v="0"/>
    <n v="103"/>
    <n v="1.0967"/>
    <n v="0.67030000000000001"/>
    <n v="1.3701000000000001"/>
    <n v="0.60319999999999996"/>
    <x v="7"/>
  </r>
  <r>
    <x v="0"/>
    <n v="103"/>
    <n v="1.0329999999999999"/>
    <n v="0.68589999999999995"/>
    <n v="1.367"/>
    <n v="0.60440000000000005"/>
    <x v="8"/>
  </r>
  <r>
    <x v="0"/>
    <n v="103"/>
    <n v="0.97040000000000004"/>
    <n v="0.70589999999999997"/>
    <n v="1.3529"/>
    <n v="0.62019999999999997"/>
    <x v="9"/>
  </r>
  <r>
    <x v="0"/>
    <n v="103"/>
    <n v="0.90349999999999997"/>
    <n v="0.7258"/>
    <n v="1.3951"/>
    <n v="0.61339999999999995"/>
    <x v="10"/>
  </r>
  <r>
    <x v="0"/>
    <n v="103"/>
    <n v="0.85760000000000003"/>
    <n v="0.7429"/>
    <n v="1.4293"/>
    <n v="0.62119999999999997"/>
    <x v="11"/>
  </r>
  <r>
    <x v="0"/>
    <n v="103"/>
    <n v="0.78759999999999997"/>
    <n v="0.75890000000000002"/>
    <n v="1.4612000000000001"/>
    <n v="0.61119999999999997"/>
    <x v="12"/>
  </r>
  <r>
    <x v="0"/>
    <n v="103"/>
    <n v="0.7329"/>
    <n v="0.77969999999999995"/>
    <n v="1.4550000000000001"/>
    <n v="0.61060000000000003"/>
    <x v="13"/>
  </r>
  <r>
    <x v="0"/>
    <n v="103"/>
    <n v="0.69230000000000003"/>
    <n v="0.79190000000000005"/>
    <n v="1.4952000000000001"/>
    <n v="0.61119999999999997"/>
    <x v="14"/>
  </r>
  <r>
    <x v="0"/>
    <n v="103"/>
    <n v="0.64239999999999997"/>
    <n v="0.80769999999999997"/>
    <n v="1.5590999999999999"/>
    <n v="0.6038"/>
    <x v="15"/>
  </r>
  <r>
    <x v="0"/>
    <n v="103"/>
    <n v="0.59850000000000003"/>
    <n v="0.82110000000000005"/>
    <n v="1.6234999999999999"/>
    <n v="0.60199999999999998"/>
    <x v="16"/>
  </r>
  <r>
    <x v="0"/>
    <n v="103"/>
    <n v="0.56399999999999995"/>
    <n v="0.83230000000000004"/>
    <n v="1.6758"/>
    <n v="0.59740000000000004"/>
    <x v="17"/>
  </r>
  <r>
    <x v="1"/>
    <n v="158"/>
    <n v="2.4584000000000001"/>
    <n v="0.28570000000000001"/>
    <n v="2.1855000000000002"/>
    <n v="0.37659999999999999"/>
    <x v="0"/>
  </r>
  <r>
    <x v="1"/>
    <n v="158"/>
    <n v="2.0773999999999999"/>
    <n v="0.3992"/>
    <n v="1.9140999999999999"/>
    <n v="0.44440000000000002"/>
    <x v="1"/>
  </r>
  <r>
    <x v="1"/>
    <n v="158"/>
    <n v="1.8425"/>
    <n v="0.46539999999999998"/>
    <n v="1.6972"/>
    <n v="0.51600000000000001"/>
    <x v="2"/>
  </r>
  <r>
    <x v="1"/>
    <n v="158"/>
    <n v="1.6413"/>
    <n v="0.52180000000000004"/>
    <n v="1.5959000000000001"/>
    <n v="0.53739999999999999"/>
    <x v="3"/>
  </r>
  <r>
    <x v="1"/>
    <n v="158"/>
    <n v="1.4948999999999999"/>
    <n v="0.56210000000000004"/>
    <n v="1.4745999999999999"/>
    <n v="0.57620000000000005"/>
    <x v="4"/>
  </r>
  <r>
    <x v="1"/>
    <n v="158"/>
    <n v="1.3903000000000001"/>
    <n v="0.59160000000000001"/>
    <n v="1.4540999999999999"/>
    <n v="0.5786"/>
    <x v="5"/>
  </r>
  <r>
    <x v="1"/>
    <n v="158"/>
    <n v="1.3108"/>
    <n v="0.61099999999999999"/>
    <n v="1.4384999999999999"/>
    <n v="0.58860000000000001"/>
    <x v="6"/>
  </r>
  <r>
    <x v="1"/>
    <n v="158"/>
    <n v="1.2221"/>
    <n v="0.63680000000000003"/>
    <n v="1.3708"/>
    <n v="0.60219999999999996"/>
    <x v="7"/>
  </r>
  <r>
    <x v="1"/>
    <n v="158"/>
    <n v="1.1910000000000001"/>
    <n v="0.6421"/>
    <n v="1.3513999999999999"/>
    <n v="0.60519999999999996"/>
    <x v="8"/>
  </r>
  <r>
    <x v="1"/>
    <n v="158"/>
    <n v="1.1291"/>
    <n v="0.66180000000000005"/>
    <n v="1.3364"/>
    <n v="0.61040000000000005"/>
    <x v="9"/>
  </r>
  <r>
    <x v="1"/>
    <n v="158"/>
    <n v="1.0913999999999999"/>
    <n v="0.67359999999999998"/>
    <n v="1.4162999999999999"/>
    <n v="0.60219999999999996"/>
    <x v="10"/>
  </r>
  <r>
    <x v="1"/>
    <n v="158"/>
    <n v="1.0327"/>
    <n v="0.6915"/>
    <n v="1.3723000000000001"/>
    <n v="0.61339999999999995"/>
    <x v="11"/>
  </r>
  <r>
    <x v="1"/>
    <n v="158"/>
    <n v="0.99060000000000004"/>
    <n v="0.70150000000000001"/>
    <n v="1.3585"/>
    <n v="0.60499999999999998"/>
    <x v="12"/>
  </r>
  <r>
    <x v="1"/>
    <n v="158"/>
    <n v="0.93879999999999997"/>
    <n v="0.71730000000000005"/>
    <n v="1.3560000000000001"/>
    <n v="0.61360000000000003"/>
    <x v="13"/>
  </r>
  <r>
    <x v="1"/>
    <n v="158"/>
    <n v="0.91039999999999999"/>
    <n v="0.7278"/>
    <n v="1.3984000000000001"/>
    <n v="0.61260000000000003"/>
    <x v="14"/>
  </r>
  <r>
    <x v="1"/>
    <n v="158"/>
    <n v="0.87580000000000002"/>
    <n v="0.7379"/>
    <n v="1.4053"/>
    <n v="0.61839999999999995"/>
    <x v="15"/>
  </r>
  <r>
    <x v="1"/>
    <n v="158"/>
    <n v="0.84099999999999997"/>
    <n v="0.74650000000000005"/>
    <n v="1.3836999999999999"/>
    <n v="0.61599999999999999"/>
    <x v="16"/>
  </r>
  <r>
    <x v="1"/>
    <n v="158"/>
    <n v="0.7984"/>
    <n v="0.75800000000000001"/>
    <n v="1.4499"/>
    <n v="0.61780000000000002"/>
    <x v="17"/>
  </r>
  <r>
    <x v="2"/>
    <n v="157"/>
    <n v="2.4359999999999999"/>
    <n v="0.29110000000000003"/>
    <n v="2.1107999999999998"/>
    <n v="0.39040000000000002"/>
    <x v="0"/>
  </r>
  <r>
    <x v="2"/>
    <n v="157"/>
    <n v="2.0329999999999999"/>
    <n v="0.41160000000000002"/>
    <n v="1.8683000000000001"/>
    <n v="0.47339999999999999"/>
    <x v="1"/>
  </r>
  <r>
    <x v="2"/>
    <n v="157"/>
    <n v="1.7717000000000001"/>
    <n v="0.48070000000000002"/>
    <n v="1.6505000000000001"/>
    <n v="0.52300000000000002"/>
    <x v="2"/>
  </r>
  <r>
    <x v="2"/>
    <n v="157"/>
    <n v="1.5697000000000001"/>
    <n v="0.53659999999999997"/>
    <n v="1.5694999999999999"/>
    <n v="0.54620000000000002"/>
    <x v="3"/>
  </r>
  <r>
    <x v="2"/>
    <n v="157"/>
    <n v="1.4228000000000001"/>
    <n v="0.58140000000000003"/>
    <n v="1.4494"/>
    <n v="0.57479999999999998"/>
    <x v="4"/>
  </r>
  <r>
    <x v="2"/>
    <n v="157"/>
    <n v="1.3159000000000001"/>
    <n v="0.6119"/>
    <n v="1.3880999999999999"/>
    <n v="0.59399999999999997"/>
    <x v="5"/>
  </r>
  <r>
    <x v="2"/>
    <n v="157"/>
    <n v="1.2344999999999999"/>
    <n v="0.63529999999999998"/>
    <n v="1.3588"/>
    <n v="0.59560000000000002"/>
    <x v="6"/>
  </r>
  <r>
    <x v="2"/>
    <n v="157"/>
    <n v="1.1662999999999999"/>
    <n v="0.65300000000000002"/>
    <n v="1.4071"/>
    <n v="0.58819999999999995"/>
    <x v="7"/>
  </r>
  <r>
    <x v="2"/>
    <n v="157"/>
    <n v="1.1043000000000001"/>
    <n v="0.66900000000000004"/>
    <n v="1.3697999999999999"/>
    <n v="0.60019999999999996"/>
    <x v="8"/>
  </r>
  <r>
    <x v="2"/>
    <n v="157"/>
    <n v="1.0367"/>
    <n v="0.68840000000000001"/>
    <n v="1.3767"/>
    <n v="0.61060000000000003"/>
    <x v="9"/>
  </r>
  <r>
    <x v="2"/>
    <n v="157"/>
    <n v="0.98929999999999996"/>
    <n v="0.70640000000000003"/>
    <n v="1.4049"/>
    <n v="0.59819999999999995"/>
    <x v="10"/>
  </r>
  <r>
    <x v="2"/>
    <n v="157"/>
    <n v="0.9405"/>
    <n v="0.71879999999999999"/>
    <n v="1.3693"/>
    <n v="0.61799999999999999"/>
    <x v="11"/>
  </r>
  <r>
    <x v="2"/>
    <n v="157"/>
    <n v="0.8861"/>
    <n v="0.73509999999999998"/>
    <n v="1.3749"/>
    <n v="0.60440000000000005"/>
    <x v="12"/>
  </r>
  <r>
    <x v="2"/>
    <n v="157"/>
    <n v="0.84340000000000004"/>
    <n v="0.74570000000000003"/>
    <n v="1.407"/>
    <n v="0.60860000000000003"/>
    <x v="13"/>
  </r>
  <r>
    <x v="2"/>
    <n v="157"/>
    <n v="0.80259999999999998"/>
    <n v="0.7581"/>
    <n v="1.4398"/>
    <n v="0.61119999999999997"/>
    <x v="14"/>
  </r>
  <r>
    <x v="2"/>
    <n v="157"/>
    <n v="0.75880000000000003"/>
    <n v="0.76770000000000005"/>
    <n v="1.4239999999999999"/>
    <n v="0.60880000000000001"/>
    <x v="15"/>
  </r>
  <r>
    <x v="2"/>
    <n v="157"/>
    <n v="0.72699999999999998"/>
    <n v="0.78220000000000001"/>
    <n v="1.4454"/>
    <n v="0.61439999999999995"/>
    <x v="16"/>
  </r>
  <r>
    <x v="2"/>
    <n v="157"/>
    <n v="0.68869999999999998"/>
    <n v="0.79159999999999997"/>
    <n v="1.4907999999999999"/>
    <n v="0.60680000000000001"/>
    <x v="17"/>
  </r>
  <r>
    <x v="3"/>
    <n v="103"/>
    <n v="2.4203999999999999"/>
    <n v="0.29709999999999998"/>
    <n v="2.1145999999999998"/>
    <n v="0.39079999999999998"/>
    <x v="0"/>
  </r>
  <r>
    <x v="3"/>
    <n v="103"/>
    <n v="2.0409000000000002"/>
    <n v="0.40679999999999999"/>
    <n v="1.9146000000000001"/>
    <n v="0.45400000000000001"/>
    <x v="1"/>
  </r>
  <r>
    <x v="3"/>
    <n v="103"/>
    <n v="1.8245"/>
    <n v="0.46760000000000002"/>
    <n v="1.7065999999999999"/>
    <n v="0.51239999999999997"/>
    <x v="2"/>
  </r>
  <r>
    <x v="3"/>
    <n v="103"/>
    <n v="1.6298999999999999"/>
    <n v="0.51990000000000003"/>
    <n v="1.5935999999999999"/>
    <n v="0.53559999999999997"/>
    <x v="3"/>
  </r>
  <r>
    <x v="3"/>
    <n v="103"/>
    <n v="1.5002"/>
    <n v="0.55620000000000003"/>
    <n v="1.4843999999999999"/>
    <n v="0.57220000000000004"/>
    <x v="4"/>
  </r>
  <r>
    <x v="3"/>
    <n v="103"/>
    <n v="1.3888"/>
    <n v="0.59509999999999996"/>
    <n v="1.4315"/>
    <n v="0.58220000000000005"/>
    <x v="5"/>
  </r>
  <r>
    <x v="3"/>
    <n v="102"/>
    <n v="1.3098000000000001"/>
    <n v="0.61609999999999998"/>
    <n v="1.3734"/>
    <n v="0.60240000000000005"/>
    <x v="6"/>
  </r>
  <r>
    <x v="3"/>
    <n v="102"/>
    <n v="1.2522"/>
    <n v="0.63360000000000005"/>
    <n v="1.3758999999999999"/>
    <n v="0.60160000000000002"/>
    <x v="7"/>
  </r>
  <r>
    <x v="3"/>
    <n v="102"/>
    <n v="1.1882999999999999"/>
    <n v="0.65080000000000005"/>
    <n v="1.3381000000000001"/>
    <n v="0.60499999999999998"/>
    <x v="8"/>
  </r>
  <r>
    <x v="3"/>
    <n v="103"/>
    <n v="1.1413"/>
    <n v="0.66279999999999994"/>
    <n v="1.3515999999999999"/>
    <n v="0.60880000000000001"/>
    <x v="9"/>
  </r>
  <r>
    <x v="3"/>
    <n v="103"/>
    <n v="1.0981000000000001"/>
    <n v="0.6734"/>
    <n v="1.3022"/>
    <n v="0.61260000000000003"/>
    <x v="10"/>
  </r>
  <r>
    <x v="3"/>
    <n v="102"/>
    <n v="1.0454000000000001"/>
    <n v="0.68759999999999999"/>
    <n v="1.3408"/>
    <n v="0.60660000000000003"/>
    <x v="11"/>
  </r>
  <r>
    <x v="3"/>
    <n v="103"/>
    <n v="1.0075000000000001"/>
    <n v="0.69989999999999997"/>
    <n v="1.3291999999999999"/>
    <n v="0.61019999999999996"/>
    <x v="12"/>
  </r>
  <r>
    <x v="3"/>
    <n v="103"/>
    <n v="0.97670000000000001"/>
    <n v="0.70809999999999995"/>
    <n v="1.3684000000000001"/>
    <n v="0.61160000000000003"/>
    <x v="13"/>
  </r>
  <r>
    <x v="3"/>
    <n v="102"/>
    <n v="0.93689999999999996"/>
    <n v="0.71830000000000005"/>
    <n v="1.3413999999999999"/>
    <n v="0.61560000000000004"/>
    <x v="14"/>
  </r>
  <r>
    <x v="3"/>
    <n v="103"/>
    <n v="0.90259999999999996"/>
    <n v="0.73360000000000003"/>
    <n v="1.3342000000000001"/>
    <n v="0.61660000000000004"/>
    <x v="15"/>
  </r>
  <r>
    <x v="3"/>
    <n v="102"/>
    <n v="0.87119999999999997"/>
    <n v="0.7369"/>
    <n v="1.3766"/>
    <n v="0.60740000000000005"/>
    <x v="16"/>
  </r>
  <r>
    <x v="3"/>
    <n v="103"/>
    <n v="0.83840000000000003"/>
    <n v="0.751"/>
    <n v="1.3596999999999999"/>
    <n v="0.61880000000000002"/>
    <x v="17"/>
  </r>
  <r>
    <x v="4"/>
    <n v="78"/>
    <n v="2.3784999999999998"/>
    <n v="0.30380000000000001"/>
    <n v="2.1002000000000001"/>
    <n v="0.39340000000000003"/>
    <x v="0"/>
  </r>
  <r>
    <x v="4"/>
    <n v="77"/>
    <n v="1.9362999999999999"/>
    <n v="0.43109999999999998"/>
    <n v="1.7986"/>
    <n v="0.48459999999999998"/>
    <x v="1"/>
  </r>
  <r>
    <x v="4"/>
    <n v="77"/>
    <n v="1.67"/>
    <n v="0.51229999999999998"/>
    <n v="1.607"/>
    <n v="0.54300000000000004"/>
    <x v="2"/>
  </r>
  <r>
    <x v="4"/>
    <n v="77"/>
    <n v="1.4725999999999999"/>
    <n v="0.56759999999999999"/>
    <n v="1.5169999999999999"/>
    <n v="0.5696"/>
    <x v="3"/>
  </r>
  <r>
    <x v="4"/>
    <n v="77"/>
    <n v="1.3461000000000001"/>
    <n v="0.60650000000000004"/>
    <n v="1.4381999999999999"/>
    <n v="0.57899999999999996"/>
    <x v="4"/>
  </r>
  <r>
    <x v="4"/>
    <n v="77"/>
    <n v="1.2232000000000001"/>
    <n v="0.63759999999999994"/>
    <n v="1.4483999999999999"/>
    <n v="0.59179999999999999"/>
    <x v="5"/>
  </r>
  <r>
    <x v="4"/>
    <n v="77"/>
    <n v="1.1255999999999999"/>
    <n v="0.66600000000000004"/>
    <n v="1.4016999999999999"/>
    <n v="0.6038"/>
    <x v="6"/>
  </r>
  <r>
    <x v="4"/>
    <n v="77"/>
    <n v="1.0515000000000001"/>
    <n v="0.68899999999999995"/>
    <n v="1.3735999999999999"/>
    <n v="0.60580000000000001"/>
    <x v="7"/>
  </r>
  <r>
    <x v="4"/>
    <n v="77"/>
    <n v="0.97709999999999997"/>
    <n v="0.71250000000000002"/>
    <n v="1.3859999999999999"/>
    <n v="0.6038"/>
    <x v="8"/>
  </r>
  <r>
    <x v="4"/>
    <n v="77"/>
    <n v="0.89970000000000006"/>
    <n v="0.73340000000000005"/>
    <n v="1.3894"/>
    <n v="0.60640000000000005"/>
    <x v="9"/>
  </r>
  <r>
    <x v="4"/>
    <n v="77"/>
    <n v="0.83109999999999995"/>
    <n v="0.75290000000000001"/>
    <n v="1.4049"/>
    <n v="0.60919999999999996"/>
    <x v="10"/>
  </r>
  <r>
    <x v="4"/>
    <n v="77"/>
    <n v="0.74839999999999995"/>
    <n v="0.7792"/>
    <n v="1.4493"/>
    <n v="0.6038"/>
    <x v="11"/>
  </r>
  <r>
    <x v="4"/>
    <n v="77"/>
    <n v="0.68879999999999997"/>
    <n v="0.79800000000000004"/>
    <n v="1.4933000000000001"/>
    <n v="0.60699999999999998"/>
    <x v="12"/>
  </r>
  <r>
    <x v="4"/>
    <n v="77"/>
    <n v="0.62119999999999997"/>
    <n v="0.81699999999999995"/>
    <n v="1.5381"/>
    <n v="0.6018"/>
    <x v="13"/>
  </r>
  <r>
    <x v="4"/>
    <n v="77"/>
    <n v="0.56399999999999995"/>
    <n v="0.83240000000000003"/>
    <n v="1.5582"/>
    <n v="0.59619999999999995"/>
    <x v="14"/>
  </r>
  <r>
    <x v="4"/>
    <n v="77"/>
    <n v="0.50790000000000002"/>
    <n v="0.85029999999999994"/>
    <n v="1.6243000000000001"/>
    <n v="0.59599999999999997"/>
    <x v="15"/>
  </r>
  <r>
    <x v="4"/>
    <n v="77"/>
    <n v="0.46300000000000002"/>
    <n v="0.86209999999999998"/>
    <n v="1.6632"/>
    <n v="0.59760000000000002"/>
    <x v="16"/>
  </r>
  <r>
    <x v="4"/>
    <n v="77"/>
    <n v="0.43440000000000001"/>
    <n v="0.871"/>
    <n v="1.7097"/>
    <n v="0.59340000000000004"/>
    <x v="17"/>
  </r>
  <r>
    <x v="5"/>
    <n v="100"/>
    <n v="2.6080000000000001"/>
    <n v="0.23039999999999999"/>
    <n v="2.3247"/>
    <n v="0.33479999999999999"/>
    <x v="0"/>
  </r>
  <r>
    <x v="5"/>
    <n v="100"/>
    <n v="2.1778"/>
    <n v="0.36840000000000001"/>
    <n v="2.0207999999999999"/>
    <n v="0.41980000000000001"/>
    <x v="1"/>
  </r>
  <r>
    <x v="5"/>
    <n v="100"/>
    <n v="1.9439"/>
    <n v="0.435"/>
    <n v="1.8315999999999999"/>
    <n v="0.47860000000000003"/>
    <x v="2"/>
  </r>
  <r>
    <x v="5"/>
    <n v="100"/>
    <n v="1.7692000000000001"/>
    <n v="0.48459999999999998"/>
    <n v="1.7178"/>
    <n v="0.51680000000000004"/>
    <x v="3"/>
  </r>
  <r>
    <x v="5"/>
    <n v="100"/>
    <n v="1.6420999999999999"/>
    <n v="0.52459999999999996"/>
    <n v="1.6272"/>
    <n v="0.53420000000000001"/>
    <x v="4"/>
  </r>
  <r>
    <x v="5"/>
    <n v="100"/>
    <n v="1.5282"/>
    <n v="0.5554"/>
    <n v="1.5558000000000001"/>
    <n v="0.54959999999999998"/>
    <x v="5"/>
  </r>
  <r>
    <x v="5"/>
    <n v="100"/>
    <n v="1.4390000000000001"/>
    <n v="0.5796"/>
    <n v="1.5186999999999999"/>
    <n v="0.56340000000000001"/>
    <x v="6"/>
  </r>
  <r>
    <x v="5"/>
    <n v="100"/>
    <n v="1.3517999999999999"/>
    <n v="0.60580000000000001"/>
    <n v="1.4503999999999999"/>
    <n v="0.57999999999999996"/>
    <x v="7"/>
  </r>
  <r>
    <x v="5"/>
    <n v="100"/>
    <n v="1.2876000000000001"/>
    <n v="0.62709999999999999"/>
    <n v="1.4153"/>
    <n v="0.59079999999999999"/>
    <x v="8"/>
  </r>
  <r>
    <x v="5"/>
    <n v="100"/>
    <n v="1.2314000000000001"/>
    <n v="0.64129999999999998"/>
    <n v="1.4097"/>
    <n v="0.59819999999999995"/>
    <x v="9"/>
  </r>
  <r>
    <x v="5"/>
    <n v="100"/>
    <n v="1.17"/>
    <n v="0.66"/>
    <n v="1.4161999999999999"/>
    <n v="0.59460000000000002"/>
    <x v="10"/>
  </r>
  <r>
    <x v="5"/>
    <n v="100"/>
    <n v="1.1264000000000001"/>
    <n v="0.66979999999999995"/>
    <n v="1.3952"/>
    <n v="0.59499999999999997"/>
    <x v="11"/>
  </r>
  <r>
    <x v="5"/>
    <n v="100"/>
    <n v="1.0789"/>
    <n v="0.6835"/>
    <n v="1.3756999999999999"/>
    <n v="0.60360000000000003"/>
    <x v="12"/>
  </r>
  <r>
    <x v="5"/>
    <n v="100"/>
    <n v="1.0385"/>
    <n v="0.69399999999999995"/>
    <n v="1.3794999999999999"/>
    <n v="0.5978"/>
    <x v="13"/>
  </r>
  <r>
    <x v="5"/>
    <n v="100"/>
    <n v="0.99529999999999996"/>
    <n v="0.70550000000000002"/>
    <n v="1.3927"/>
    <n v="0.60419999999999996"/>
    <x v="14"/>
  </r>
  <r>
    <x v="5"/>
    <n v="100"/>
    <n v="0.95579999999999998"/>
    <n v="0.71989999999999998"/>
    <n v="1.3959999999999999"/>
    <n v="0.61339999999999995"/>
    <x v="15"/>
  </r>
  <r>
    <x v="5"/>
    <n v="100"/>
    <n v="0.92949999999999999"/>
    <n v="0.72689999999999999"/>
    <n v="1.4251"/>
    <n v="0.60499999999999998"/>
    <x v="16"/>
  </r>
  <r>
    <x v="5"/>
    <n v="100"/>
    <n v="0.87719999999999998"/>
    <n v="0.74280000000000002"/>
    <n v="1.42"/>
    <n v="0.60619999999999996"/>
    <x v="17"/>
  </r>
  <r>
    <x v="6"/>
    <n v="88"/>
    <n v="2.4234"/>
    <n v="0.2923"/>
    <n v="2.1315"/>
    <n v="0.3962"/>
    <x v="0"/>
  </r>
  <r>
    <x v="6"/>
    <n v="88"/>
    <n v="1.9132"/>
    <n v="0.44290000000000002"/>
    <n v="1.7894000000000001"/>
    <n v="0.49320000000000003"/>
    <x v="1"/>
  </r>
  <r>
    <x v="6"/>
    <n v="88"/>
    <n v="1.6819"/>
    <n v="0.5081"/>
    <n v="1.6462000000000001"/>
    <n v="0.52259999999999995"/>
    <x v="2"/>
  </r>
  <r>
    <x v="6"/>
    <n v="88"/>
    <n v="1.5106999999999999"/>
    <n v="0.55930000000000002"/>
    <n v="1.5738000000000001"/>
    <n v="0.54300000000000004"/>
    <x v="3"/>
  </r>
  <r>
    <x v="6"/>
    <n v="88"/>
    <n v="1.3993"/>
    <n v="0.59370000000000001"/>
    <n v="1.5382"/>
    <n v="0.56640000000000001"/>
    <x v="4"/>
  </r>
  <r>
    <x v="6"/>
    <n v="89"/>
    <n v="1.2947"/>
    <n v="0.62429999999999997"/>
    <n v="1.4690000000000001"/>
    <n v="0.59199999999999997"/>
    <x v="5"/>
  </r>
  <r>
    <x v="6"/>
    <n v="88"/>
    <n v="1.2287999999999999"/>
    <n v="0.64170000000000005"/>
    <n v="1.4529000000000001"/>
    <n v="0.59060000000000001"/>
    <x v="6"/>
  </r>
  <r>
    <x v="6"/>
    <n v="88"/>
    <n v="1.1656"/>
    <n v="0.65920000000000001"/>
    <n v="1.4435"/>
    <n v="0.59379999999999999"/>
    <x v="7"/>
  </r>
  <r>
    <x v="6"/>
    <n v="88"/>
    <n v="1.1066"/>
    <n v="0.67710000000000004"/>
    <n v="1.4369000000000001"/>
    <n v="0.59940000000000004"/>
    <x v="8"/>
  </r>
  <r>
    <x v="6"/>
    <n v="88"/>
    <n v="1.0667"/>
    <n v="0.68600000000000005"/>
    <n v="1.419"/>
    <n v="0.60040000000000004"/>
    <x v="9"/>
  </r>
  <r>
    <x v="6"/>
    <n v="88"/>
    <n v="1.0251999999999999"/>
    <n v="0.69879999999999998"/>
    <n v="1.4361999999999999"/>
    <n v="0.59819999999999995"/>
    <x v="10"/>
  </r>
  <r>
    <x v="6"/>
    <n v="89"/>
    <n v="0.96809999999999996"/>
    <n v="0.71719999999999995"/>
    <n v="1.4242999999999999"/>
    <n v="0.60399999999999998"/>
    <x v="11"/>
  </r>
  <r>
    <x v="6"/>
    <n v="89"/>
    <n v="0.93330000000000002"/>
    <n v="0.72319999999999995"/>
    <n v="1.4378"/>
    <n v="0.58879999999999999"/>
    <x v="12"/>
  </r>
  <r>
    <x v="6"/>
    <n v="88"/>
    <n v="0.89259999999999995"/>
    <n v="0.73599999999999999"/>
    <n v="1.4529000000000001"/>
    <n v="0.6"/>
    <x v="13"/>
  </r>
  <r>
    <x v="6"/>
    <n v="88"/>
    <n v="0.85119999999999996"/>
    <n v="0.74750000000000005"/>
    <n v="1.4388000000000001"/>
    <n v="0.60160000000000002"/>
    <x v="14"/>
  </r>
  <r>
    <x v="6"/>
    <n v="88"/>
    <n v="0.82150000000000001"/>
    <n v="0.75760000000000005"/>
    <n v="1.4813000000000001"/>
    <n v="0.60580000000000001"/>
    <x v="15"/>
  </r>
  <r>
    <x v="6"/>
    <n v="88"/>
    <n v="0.78090000000000004"/>
    <n v="0.77190000000000003"/>
    <n v="1.4654"/>
    <n v="0.60899999999999999"/>
    <x v="16"/>
  </r>
  <r>
    <x v="6"/>
    <n v="88"/>
    <n v="0.75080000000000002"/>
    <n v="0.77510000000000001"/>
    <n v="1.4982"/>
    <n v="0.59840000000000004"/>
    <x v="17"/>
  </r>
  <r>
    <x v="7"/>
    <n v="82"/>
    <n v="2.4361000000000002"/>
    <n v="0.29020000000000001"/>
    <n v="2.1621000000000001"/>
    <n v="0.38159999999999999"/>
    <x v="0"/>
  </r>
  <r>
    <x v="7"/>
    <n v="83"/>
    <n v="2.0127000000000002"/>
    <n v="0.40770000000000001"/>
    <n v="1.8953"/>
    <n v="0.45679999999999998"/>
    <x v="1"/>
  </r>
  <r>
    <x v="7"/>
    <n v="83"/>
    <n v="1.7641"/>
    <n v="0.4859"/>
    <n v="1.7177"/>
    <n v="0.51719999999999999"/>
    <x v="2"/>
  </r>
  <r>
    <x v="7"/>
    <n v="83"/>
    <n v="1.5871999999999999"/>
    <n v="0.54100000000000004"/>
    <n v="1.6489"/>
    <n v="0.52959999999999996"/>
    <x v="3"/>
  </r>
  <r>
    <x v="7"/>
    <n v="83"/>
    <n v="1.4728000000000001"/>
    <n v="0.57420000000000004"/>
    <n v="1.6413"/>
    <n v="0.53320000000000001"/>
    <x v="4"/>
  </r>
  <r>
    <x v="7"/>
    <n v="83"/>
    <n v="1.3745000000000001"/>
    <n v="0.6038"/>
    <n v="1.4983"/>
    <n v="0.56979999999999997"/>
    <x v="5"/>
  </r>
  <r>
    <x v="7"/>
    <n v="83"/>
    <n v="1.2982"/>
    <n v="0.62590000000000001"/>
    <n v="1.4862"/>
    <n v="0.57699999999999996"/>
    <x v="6"/>
  </r>
  <r>
    <x v="7"/>
    <n v="83"/>
    <n v="1.2132000000000001"/>
    <n v="0.64580000000000004"/>
    <n v="1.4613"/>
    <n v="0.58819999999999995"/>
    <x v="7"/>
  </r>
  <r>
    <x v="7"/>
    <n v="83"/>
    <n v="1.1796"/>
    <n v="0.65759999999999996"/>
    <n v="1.4908999999999999"/>
    <n v="0.5736"/>
    <x v="8"/>
  </r>
  <r>
    <x v="7"/>
    <n v="83"/>
    <n v="1.1047"/>
    <n v="0.67989999999999995"/>
    <n v="1.4621"/>
    <n v="0.58199999999999996"/>
    <x v="9"/>
  </r>
  <r>
    <x v="7"/>
    <n v="83"/>
    <n v="1.0741000000000001"/>
    <n v="0.68559999999999999"/>
    <n v="1.4650000000000001"/>
    <n v="0.58640000000000003"/>
    <x v="10"/>
  </r>
  <r>
    <x v="7"/>
    <n v="83"/>
    <n v="1.0228999999999999"/>
    <n v="0.70289999999999997"/>
    <n v="1.4646999999999999"/>
    <n v="0.59219999999999995"/>
    <x v="11"/>
  </r>
  <r>
    <x v="7"/>
    <n v="83"/>
    <n v="0.97450000000000003"/>
    <n v="0.71379999999999999"/>
    <n v="1.4743999999999999"/>
    <n v="0.58320000000000005"/>
    <x v="12"/>
  </r>
  <r>
    <x v="7"/>
    <n v="83"/>
    <n v="0.93540000000000001"/>
    <n v="0.72750000000000004"/>
    <n v="1.5199"/>
    <n v="0.57940000000000003"/>
    <x v="13"/>
  </r>
  <r>
    <x v="7"/>
    <n v="83"/>
    <n v="0.90010000000000001"/>
    <n v="0.7409"/>
    <n v="1.5021"/>
    <n v="0.59360000000000002"/>
    <x v="14"/>
  </r>
  <r>
    <x v="7"/>
    <n v="83"/>
    <n v="0.85750000000000004"/>
    <n v="0.75129999999999997"/>
    <n v="1.4802999999999999"/>
    <n v="0.59060000000000001"/>
    <x v="15"/>
  </r>
  <r>
    <x v="7"/>
    <n v="83"/>
    <n v="0.82040000000000002"/>
    <n v="0.76290000000000002"/>
    <n v="1.5152000000000001"/>
    <n v="0.59019999999999995"/>
    <x v="16"/>
  </r>
  <r>
    <x v="7"/>
    <n v="83"/>
    <n v="0.79239999999999999"/>
    <n v="0.76970000000000005"/>
    <n v="1.5921000000000001"/>
    <n v="0.58199999999999996"/>
    <x v="17"/>
  </r>
  <r>
    <x v="8"/>
    <n v="105"/>
    <n v="2.4150999999999998"/>
    <n v="0.29549999999999998"/>
    <n v="2.1082999999999998"/>
    <n v="0.3846"/>
    <x v="0"/>
  </r>
  <r>
    <x v="8"/>
    <n v="105"/>
    <n v="1.998"/>
    <n v="0.41389999999999999"/>
    <n v="1.8154999999999999"/>
    <n v="0.48320000000000002"/>
    <x v="1"/>
  </r>
  <r>
    <x v="8"/>
    <n v="105"/>
    <n v="1.7532000000000001"/>
    <n v="0.48330000000000001"/>
    <n v="1.6364000000000001"/>
    <n v="0.53039999999999998"/>
    <x v="2"/>
  </r>
  <r>
    <x v="8"/>
    <n v="104"/>
    <n v="1.5496000000000001"/>
    <n v="0.5444"/>
    <n v="1.5246999999999999"/>
    <n v="0.56159999999999999"/>
    <x v="3"/>
  </r>
  <r>
    <x v="8"/>
    <n v="104"/>
    <n v="1.4218"/>
    <n v="0.58260000000000001"/>
    <n v="1.4446000000000001"/>
    <n v="0.57699999999999996"/>
    <x v="4"/>
  </r>
  <r>
    <x v="8"/>
    <n v="104"/>
    <n v="1.3139000000000001"/>
    <n v="0.61209999999999998"/>
    <n v="1.4109"/>
    <n v="0.58620000000000005"/>
    <x v="5"/>
  </r>
  <r>
    <x v="8"/>
    <n v="104"/>
    <n v="1.2303999999999999"/>
    <n v="0.63449999999999995"/>
    <n v="1.3628"/>
    <n v="0.6018"/>
    <x v="6"/>
  </r>
  <r>
    <x v="8"/>
    <n v="104"/>
    <n v="1.1595"/>
    <n v="0.65369999999999995"/>
    <n v="1.3636999999999999"/>
    <n v="0.59919999999999995"/>
    <x v="7"/>
  </r>
  <r>
    <x v="8"/>
    <n v="104"/>
    <n v="1.1040000000000001"/>
    <n v="0.67079999999999995"/>
    <n v="1.3564000000000001"/>
    <n v="0.6"/>
    <x v="8"/>
  </r>
  <r>
    <x v="8"/>
    <n v="104"/>
    <n v="1.0478000000000001"/>
    <n v="0.69020000000000004"/>
    <n v="1.3298000000000001"/>
    <n v="0.61"/>
    <x v="9"/>
  </r>
  <r>
    <x v="8"/>
    <n v="104"/>
    <n v="0.99790000000000001"/>
    <n v="0.69989999999999997"/>
    <n v="1.3553999999999999"/>
    <n v="0.61199999999999999"/>
    <x v="10"/>
  </r>
  <r>
    <x v="8"/>
    <n v="104"/>
    <n v="0.96619999999999995"/>
    <n v="0.71189999999999998"/>
    <n v="1.3511"/>
    <n v="0.61739999999999995"/>
    <x v="11"/>
  </r>
  <r>
    <x v="8"/>
    <n v="104"/>
    <n v="0.91459999999999997"/>
    <n v="0.72940000000000005"/>
    <n v="1.3584000000000001"/>
    <n v="0.61419999999999997"/>
    <x v="12"/>
  </r>
  <r>
    <x v="8"/>
    <n v="104"/>
    <n v="0.86560000000000004"/>
    <n v="0.74219999999999997"/>
    <n v="1.3608"/>
    <n v="0.61680000000000001"/>
    <x v="13"/>
  </r>
  <r>
    <x v="8"/>
    <n v="104"/>
    <n v="0.82489999999999997"/>
    <n v="0.75270000000000004"/>
    <n v="1.3758999999999999"/>
    <n v="0.623"/>
    <x v="14"/>
  </r>
  <r>
    <x v="8"/>
    <n v="104"/>
    <n v="0.78549999999999998"/>
    <n v="0.76249999999999996"/>
    <n v="1.3896999999999999"/>
    <n v="0.62119999999999997"/>
    <x v="15"/>
  </r>
  <r>
    <x v="8"/>
    <n v="104"/>
    <n v="0.74850000000000005"/>
    <n v="0.77669999999999995"/>
    <n v="1.4249000000000001"/>
    <n v="0.61160000000000003"/>
    <x v="16"/>
  </r>
  <r>
    <x v="8"/>
    <n v="104"/>
    <n v="0.71140000000000003"/>
    <n v="0.78769999999999996"/>
    <n v="1.4656"/>
    <n v="0.60660000000000003"/>
    <x v="17"/>
  </r>
  <r>
    <x v="9"/>
    <n v="103"/>
    <n v="2.3889"/>
    <n v="0.30499999999999999"/>
    <n v="2.0746000000000002"/>
    <n v="0.4042"/>
    <x v="0"/>
  </r>
  <r>
    <x v="9"/>
    <n v="103"/>
    <n v="1.9678"/>
    <n v="0.42730000000000001"/>
    <n v="1.8197000000000001"/>
    <n v="0.4728"/>
    <x v="1"/>
  </r>
  <r>
    <x v="9"/>
    <n v="102"/>
    <n v="1.7089000000000001"/>
    <n v="0.50029999999999997"/>
    <n v="1.6184000000000001"/>
    <n v="0.53339999999999999"/>
    <x v="2"/>
  </r>
  <r>
    <x v="9"/>
    <n v="102"/>
    <n v="1.5297000000000001"/>
    <n v="0.55149999999999999"/>
    <n v="1.5518000000000001"/>
    <n v="0.55900000000000005"/>
    <x v="3"/>
  </r>
  <r>
    <x v="9"/>
    <n v="103"/>
    <n v="1.3767"/>
    <n v="0.59550000000000003"/>
    <n v="1.4441999999999999"/>
    <n v="0.58899999999999997"/>
    <x v="4"/>
  </r>
  <r>
    <x v="9"/>
    <n v="102"/>
    <n v="1.2750999999999999"/>
    <n v="0.62460000000000004"/>
    <n v="1.4086000000000001"/>
    <n v="0.59299999999999997"/>
    <x v="5"/>
  </r>
  <r>
    <x v="9"/>
    <n v="102"/>
    <n v="1.1900999999999999"/>
    <n v="0.64970000000000006"/>
    <n v="1.3843000000000001"/>
    <n v="0.5948"/>
    <x v="6"/>
  </r>
  <r>
    <x v="9"/>
    <n v="103"/>
    <n v="1.1269"/>
    <n v="0.66600000000000004"/>
    <n v="1.3567"/>
    <n v="0.60799999999999998"/>
    <x v="7"/>
  </r>
  <r>
    <x v="9"/>
    <n v="103"/>
    <n v="1.0596000000000001"/>
    <n v="0.68530000000000002"/>
    <n v="1.36"/>
    <n v="0.60019999999999996"/>
    <x v="8"/>
  </r>
  <r>
    <x v="9"/>
    <n v="103"/>
    <n v="1.0044"/>
    <n v="0.69950000000000001"/>
    <n v="1.3478000000000001"/>
    <n v="0.60899999999999999"/>
    <x v="9"/>
  </r>
  <r>
    <x v="9"/>
    <n v="102"/>
    <n v="0.9415"/>
    <n v="0.7167"/>
    <n v="1.3755999999999999"/>
    <n v="0.60340000000000005"/>
    <x v="10"/>
  </r>
  <r>
    <x v="9"/>
    <n v="102"/>
    <n v="0.90410000000000001"/>
    <n v="0.72919999999999996"/>
    <n v="1.391"/>
    <n v="0.60399999999999998"/>
    <x v="11"/>
  </r>
  <r>
    <x v="9"/>
    <n v="103"/>
    <n v="0.83609999999999995"/>
    <n v="0.74929999999999997"/>
    <n v="1.3968"/>
    <n v="0.61099999999999999"/>
    <x v="12"/>
  </r>
  <r>
    <x v="9"/>
    <n v="103"/>
    <n v="0.79349999999999998"/>
    <n v="0.76239999999999997"/>
    <n v="1.4174"/>
    <n v="0.60499999999999998"/>
    <x v="13"/>
  </r>
  <r>
    <x v="9"/>
    <n v="103"/>
    <n v="0.75229999999999997"/>
    <n v="0.77500000000000002"/>
    <n v="1.4596"/>
    <n v="0.60680000000000001"/>
    <x v="14"/>
  </r>
  <r>
    <x v="9"/>
    <n v="103"/>
    <n v="0.71130000000000004"/>
    <n v="0.78710000000000002"/>
    <n v="1.4601999999999999"/>
    <n v="0.61260000000000003"/>
    <x v="15"/>
  </r>
  <r>
    <x v="9"/>
    <n v="103"/>
    <n v="0.67779999999999996"/>
    <n v="0.79769999999999996"/>
    <n v="1.4967999999999999"/>
    <n v="0.60360000000000003"/>
    <x v="16"/>
  </r>
  <r>
    <x v="9"/>
    <n v="103"/>
    <n v="0.6381"/>
    <n v="0.81030000000000002"/>
    <n v="1.5569999999999999"/>
    <n v="0.6018"/>
    <x v="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name="PivotTable1" cacheId="3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gridDropZones="1" multipleFieldFilters="0">
  <location ref="A3:E19" firstHeaderRow="1" firstDataRow="2" firstDataCol="1"/>
  <pivotFields count="12">
    <pivotField axis="axisRow" showAll="0">
      <items count="3">
        <item x="0"/>
        <item x="1"/>
        <item t="default"/>
      </items>
    </pivotField>
    <pivotField showAll="0" defaultSubtotal="0"/>
    <pivotField showAll="0"/>
    <pivotField showAll="0"/>
    <pivotField showAll="0"/>
    <pivotField showAll="0"/>
    <pivotField axis="axisRow" showAll="0">
      <items count="7">
        <item x="5"/>
        <item x="2"/>
        <item x="0"/>
        <item x="3"/>
        <item x="4"/>
        <item x="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2">
    <field x="0"/>
    <field x="6"/>
  </rowFields>
  <rowItems count="15">
    <i>
      <x/>
    </i>
    <i r="1">
      <x/>
    </i>
    <i r="1">
      <x v="1"/>
    </i>
    <i r="1">
      <x v="2"/>
    </i>
    <i r="1">
      <x v="3"/>
    </i>
    <i r="1">
      <x v="4"/>
    </i>
    <i r="1">
      <x v="5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td Loss" fld="10" subtotal="stdDev" baseField="0" baseItem="0"/>
    <dataField name="Avg Loss" fld="10" subtotal="average" baseField="0" baseItem="0"/>
    <dataField name="Std Acc" fld="11" subtotal="stdDev" baseField="0" baseItem="0"/>
    <dataField name="Avg Acc" fld="11" subtotal="average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3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gridDropZones="1" multipleFieldFilters="0">
  <location ref="A3:G19" firstHeaderRow="1" firstDataRow="2" firstDataCol="1"/>
  <pivotFields count="12">
    <pivotField axis="axisRow" showAll="0">
      <items count="3">
        <item x="0"/>
        <item x="1"/>
        <item t="default"/>
      </items>
    </pivotField>
    <pivotField showAll="0" defaultSubtotal="0"/>
    <pivotField showAll="0"/>
    <pivotField showAll="0"/>
    <pivotField showAll="0"/>
    <pivotField showAll="0"/>
    <pivotField axis="axisRow" showAll="0">
      <items count="7">
        <item x="5"/>
        <item x="2"/>
        <item x="0"/>
        <item x="3"/>
        <item x="4"/>
        <item x="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2">
    <field x="0"/>
    <field x="6"/>
  </rowFields>
  <rowItems count="15">
    <i>
      <x/>
    </i>
    <i r="1">
      <x/>
    </i>
    <i r="1">
      <x v="1"/>
    </i>
    <i r="1">
      <x v="2"/>
    </i>
    <i r="1">
      <x v="3"/>
    </i>
    <i r="1">
      <x v="4"/>
    </i>
    <i r="1">
      <x v="5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Max Loss" fld="10" subtotal="max" baseField="0" baseItem="0"/>
    <dataField name="Avg Loss" fld="10" subtotal="average" baseField="0" baseItem="0"/>
    <dataField name="Min Loss" fld="10" subtotal="min" baseField="0" baseItem="0"/>
    <dataField name="Max of Acc" fld="11" subtotal="max" baseField="0" baseItem="0"/>
    <dataField name="Avg Acc" fld="11" subtotal="average" baseField="0" baseItem="0"/>
    <dataField name="Min Acc" fld="11" subtotal="min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gridDropZones="1" multipleFieldFilters="0">
  <location ref="A3:G19" firstHeaderRow="1" firstDataRow="2" firstDataCol="1"/>
  <pivotFields count="12">
    <pivotField showAll="0"/>
    <pivotField showAll="0" defaultSubtotal="0"/>
    <pivotField showAll="0"/>
    <pivotField axis="axisRow" showAll="0">
      <items count="3">
        <item x="0"/>
        <item x="1"/>
        <item t="default"/>
      </items>
    </pivotField>
    <pivotField showAll="0">
      <items count="5">
        <item m="1" x="2"/>
        <item m="1" x="3"/>
        <item x="0"/>
        <item x="1"/>
        <item t="default"/>
      </items>
    </pivotField>
    <pivotField showAll="0"/>
    <pivotField axis="axisRow" showAll="0">
      <items count="7">
        <item x="5"/>
        <item x="2"/>
        <item x="0"/>
        <item x="3"/>
        <item x="4"/>
        <item x="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2">
    <field x="3"/>
    <field x="6"/>
  </rowFields>
  <rowItems count="15">
    <i>
      <x/>
    </i>
    <i r="1">
      <x/>
    </i>
    <i r="1">
      <x v="1"/>
    </i>
    <i r="1">
      <x v="2"/>
    </i>
    <i r="1">
      <x v="3"/>
    </i>
    <i r="1">
      <x v="4"/>
    </i>
    <i r="1">
      <x v="5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Max Loss" fld="10" subtotal="max" baseField="0" baseItem="0"/>
    <dataField name="Avg Loss" fld="10" subtotal="average" baseField="0" baseItem="0"/>
    <dataField name="Min Loss" fld="10" subtotal="min" baseField="0" baseItem="0"/>
    <dataField name="Max of Acc" fld="11" subtotal="max" baseField="0" baseItem="0"/>
    <dataField name="Avg Acc" fld="11" subtotal="average" baseField="0" baseItem="0"/>
    <dataField name="Min Acc" fld="11" subtotal="min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" cacheId="25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gridDropZones="1" multipleFieldFilters="0">
  <location ref="A3:G26" firstHeaderRow="1" firstDataRow="2" firstDataCol="1"/>
  <pivotFields count="12">
    <pivotField showAll="0"/>
    <pivotField axis="axisRow" showAll="0" defaultSubtotal="0">
      <items count="3">
        <item x="1"/>
        <item x="2"/>
        <item x="0"/>
      </items>
    </pivotField>
    <pivotField showAll="0"/>
    <pivotField showAll="0"/>
    <pivotField showAll="0"/>
    <pivotField showAll="0"/>
    <pivotField axis="axisRow" showAll="0">
      <items count="7">
        <item x="5"/>
        <item x="2"/>
        <item x="0"/>
        <item x="3"/>
        <item x="4"/>
        <item x="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2">
    <field x="1"/>
    <field x="6"/>
  </rowFields>
  <rowItems count="22">
    <i>
      <x/>
    </i>
    <i r="1">
      <x/>
    </i>
    <i r="1">
      <x v="1"/>
    </i>
    <i r="1">
      <x v="2"/>
    </i>
    <i r="1">
      <x v="3"/>
    </i>
    <i r="1">
      <x v="4"/>
    </i>
    <i r="1">
      <x v="5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Max Loss" fld="10" subtotal="max" baseField="0" baseItem="0"/>
    <dataField name="Avg Loss" fld="10" subtotal="average" baseField="0" baseItem="0"/>
    <dataField name="Min Loss" fld="10" subtotal="min" baseField="0" baseItem="0"/>
    <dataField name="Max of Acc" fld="11" subtotal="max" baseField="0" baseItem="0"/>
    <dataField name="Avg Acc" fld="11" subtotal="average" baseField="0" baseItem="0"/>
    <dataField name="Min Acc" fld="11" subtotal="min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1" cacheId="25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gridDropZones="1" multipleFieldFilters="0">
  <location ref="A3:G26" firstHeaderRow="1" firstDataRow="2" firstDataCol="1"/>
  <pivotFields count="12">
    <pivotField showAll="0"/>
    <pivotField showAll="0" defaultSubtotal="0">
      <items count="3">
        <item x="1"/>
        <item x="2"/>
        <item x="0"/>
      </items>
    </pivotField>
    <pivotField axis="axisRow" showAll="0">
      <items count="4">
        <item x="1"/>
        <item x="0"/>
        <item x="2"/>
        <item t="default"/>
      </items>
    </pivotField>
    <pivotField showAll="0"/>
    <pivotField showAll="0"/>
    <pivotField showAll="0"/>
    <pivotField axis="axisRow" showAll="0">
      <items count="7">
        <item x="5"/>
        <item x="2"/>
        <item x="0"/>
        <item x="3"/>
        <item x="4"/>
        <item x="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2">
    <field x="2"/>
    <field x="6"/>
  </rowFields>
  <rowItems count="22">
    <i>
      <x/>
    </i>
    <i r="1">
      <x/>
    </i>
    <i r="1">
      <x v="1"/>
    </i>
    <i r="1">
      <x v="2"/>
    </i>
    <i r="1">
      <x v="3"/>
    </i>
    <i r="1">
      <x v="4"/>
    </i>
    <i r="1">
      <x v="5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Max Loss" fld="10" subtotal="max" baseField="0" baseItem="0"/>
    <dataField name="Avg Loss" fld="10" subtotal="average" baseField="0" baseItem="0"/>
    <dataField name="Min Loss" fld="10" subtotal="min" baseField="0" baseItem="0"/>
    <dataField name="Max of Acc" fld="11" subtotal="max" baseField="0" baseItem="0"/>
    <dataField name="Avg Acc" fld="11" subtotal="average" baseField="0" baseItem="0"/>
    <dataField name="Min Acc" fld="11" subtotal="min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gridDropZones="1" multipleFieldFilters="0">
  <location ref="A3:G26" firstHeaderRow="1" firstDataRow="2" firstDataCol="1"/>
  <pivotFields count="12">
    <pivotField showAll="0"/>
    <pivotField showAll="0" defaultSubtotal="0">
      <items count="3">
        <item x="1"/>
        <item x="2"/>
        <item x="0"/>
      </items>
    </pivotField>
    <pivotField axis="axisRow" showAll="0">
      <items count="4">
        <item x="1"/>
        <item x="0"/>
        <item x="2"/>
        <item t="default"/>
      </items>
    </pivotField>
    <pivotField showAll="0"/>
    <pivotField showAll="0"/>
    <pivotField showAll="0"/>
    <pivotField axis="axisRow" showAll="0">
      <items count="7">
        <item x="5"/>
        <item x="2"/>
        <item x="0"/>
        <item x="3"/>
        <item x="4"/>
        <item x="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2">
    <field x="2"/>
    <field x="6"/>
  </rowFields>
  <rowItems count="22">
    <i>
      <x/>
    </i>
    <i r="1">
      <x/>
    </i>
    <i r="1">
      <x v="1"/>
    </i>
    <i r="1">
      <x v="2"/>
    </i>
    <i r="1">
      <x v="3"/>
    </i>
    <i r="1">
      <x v="4"/>
    </i>
    <i r="1">
      <x v="5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Max Loss" fld="10" subtotal="max" baseField="0" baseItem="0"/>
    <dataField name="Avg Loss" fld="10" subtotal="average" baseField="0" baseItem="0"/>
    <dataField name="Min Loss" fld="10" subtotal="min" baseField="0" baseItem="0"/>
    <dataField name="Max of Acc" fld="11" subtotal="max" baseField="0" baseItem="0"/>
    <dataField name="Avg Acc" fld="11" subtotal="average" baseField="0" baseItem="0"/>
    <dataField name="Min Acc" fld="11" subtotal="min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1" cacheId="29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gridDropZones="1" multipleFieldFilters="0">
  <location ref="A3:G26" firstHeaderRow="1" firstDataRow="2" firstDataCol="1"/>
  <pivotFields count="12">
    <pivotField showAll="0"/>
    <pivotField showAll="0" defaultSubtotal="0">
      <items count="3">
        <item x="0"/>
        <item x="1"/>
        <item x="2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2">
    <field x="2"/>
    <field x="6"/>
  </rowFields>
  <rowItems count="22">
    <i>
      <x/>
    </i>
    <i r="1">
      <x/>
    </i>
    <i r="1">
      <x v="1"/>
    </i>
    <i r="1">
      <x v="2"/>
    </i>
    <i r="1">
      <x v="3"/>
    </i>
    <i r="1">
      <x v="4"/>
    </i>
    <i r="1">
      <x v="5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Max Loss" fld="10" subtotal="max" baseField="0" baseItem="0"/>
    <dataField name="Avg Loss" fld="10" subtotal="average" baseField="0" baseItem="0"/>
    <dataField name="Min Loss" fld="10" subtotal="min" baseField="0" baseItem="0"/>
    <dataField name="Max of Acc" fld="11" subtotal="max" baseField="0" baseItem="0"/>
    <dataField name="Avg Acc" fld="11" subtotal="average" baseField="0" baseItem="0"/>
    <dataField name="Min Acc" fld="11" subtotal="min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1" cacheId="25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gridDropZones="1" multipleFieldFilters="0">
  <location ref="A3:G19" firstHeaderRow="1" firstDataRow="2" firstDataCol="1"/>
  <pivotFields count="12">
    <pivotField showAll="0"/>
    <pivotField showAll="0" defaultSubtotal="0"/>
    <pivotField showAll="0"/>
    <pivotField showAll="0"/>
    <pivotField axis="axisRow" showAll="0">
      <items count="5">
        <item m="1" x="2"/>
        <item m="1" x="3"/>
        <item x="0"/>
        <item x="1"/>
        <item t="default"/>
      </items>
    </pivotField>
    <pivotField showAll="0"/>
    <pivotField axis="axisRow" showAll="0">
      <items count="7">
        <item x="5"/>
        <item x="2"/>
        <item x="0"/>
        <item x="3"/>
        <item x="4"/>
        <item x="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2">
    <field x="4"/>
    <field x="6"/>
  </rowFields>
  <rowItems count="15">
    <i>
      <x v="2"/>
    </i>
    <i r="1">
      <x/>
    </i>
    <i r="1">
      <x v="1"/>
    </i>
    <i r="1">
      <x v="2"/>
    </i>
    <i r="1">
      <x v="3"/>
    </i>
    <i r="1">
      <x v="4"/>
    </i>
    <i r="1">
      <x v="5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Max Loss" fld="10" subtotal="max" baseField="0" baseItem="0"/>
    <dataField name="Avg Loss" fld="10" subtotal="average" baseField="0" baseItem="0"/>
    <dataField name="Min Loss" fld="10" subtotal="min" baseField="0" baseItem="0"/>
    <dataField name="Max of Acc" fld="11" subtotal="max" baseField="0" baseItem="0"/>
    <dataField name="Avg Acc" fld="11" subtotal="average" baseField="0" baseItem="0"/>
    <dataField name="Min Acc" fld="11" subtotal="min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PivotTable1" cacheId="25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gridDropZones="1" multipleFieldFilters="0">
  <location ref="A3:G19" firstHeaderRow="1" firstDataRow="2" firstDataCol="1"/>
  <pivotFields count="12">
    <pivotField showAll="0"/>
    <pivotField showAll="0" defaultSubtotal="0"/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axis="axisRow" showAll="0">
      <items count="7">
        <item x="5"/>
        <item x="2"/>
        <item x="0"/>
        <item x="3"/>
        <item x="4"/>
        <item x="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2">
    <field x="5"/>
    <field x="6"/>
  </rowFields>
  <rowItems count="15">
    <i>
      <x/>
    </i>
    <i r="1">
      <x/>
    </i>
    <i r="1">
      <x v="1"/>
    </i>
    <i r="1">
      <x v="2"/>
    </i>
    <i r="1">
      <x v="3"/>
    </i>
    <i r="1">
      <x v="4"/>
    </i>
    <i r="1">
      <x v="5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Max Loss" fld="10" subtotal="max" baseField="0" baseItem="0"/>
    <dataField name="Avg Loss" fld="10" subtotal="average" baseField="0" baseItem="0"/>
    <dataField name="Min Loss" fld="10" subtotal="min" baseField="0" baseItem="0"/>
    <dataField name="Max Acc" fld="11" subtotal="max" baseField="0" baseItem="0"/>
    <dataField name="Avg Acc" fld="11" subtotal="average" baseField="0" baseItem="0"/>
    <dataField name="Min Acc" fld="11" subtotal="min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PivotTable1" cacheId="45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gridDropZones="1" multipleFieldFilters="0">
  <location ref="A3:L23" firstHeaderRow="1" firstDataRow="2" firstDataCol="1"/>
  <pivotFields count="7">
    <pivotField axis="axisCol" showAll="0">
      <items count="11">
        <item x="4"/>
        <item x="9"/>
        <item x="0"/>
        <item x="8"/>
        <item x="2"/>
        <item x="3"/>
        <item x="1"/>
        <item x="5"/>
        <item x="7"/>
        <item x="6"/>
        <item t="default"/>
      </items>
    </pivotField>
    <pivotField showAll="0"/>
    <pivotField showAll="0"/>
    <pivotField showAll="0"/>
    <pivotField showAll="0"/>
    <pivotField dataField="1" showAll="0"/>
    <pivotField axis="axisRow" showAll="0" sortType="ascending">
      <items count="28">
        <item x="0"/>
        <item x="1"/>
        <item x="2"/>
        <item x="3"/>
        <item x="4"/>
        <item x="5"/>
        <item x="6"/>
        <item x="7"/>
        <item x="8"/>
        <item m="1" x="18"/>
        <item x="9"/>
        <item x="10"/>
        <item x="11"/>
        <item x="12"/>
        <item x="13"/>
        <item x="14"/>
        <item x="15"/>
        <item x="16"/>
        <item x="17"/>
        <item m="1" x="23"/>
        <item m="1" x="19"/>
        <item m="1" x="24"/>
        <item m="1" x="20"/>
        <item m="1" x="25"/>
        <item m="1" x="21"/>
        <item m="1" x="26"/>
        <item m="1" x="22"/>
        <item t="default"/>
      </items>
    </pivotField>
  </pivotFields>
  <rowFields count="1">
    <field x="6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Fields count="1">
    <field x="0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Sum of Acc" fld="5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Relationship Id="rId2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Relationship Id="rId2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Relationship Id="rId2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Relationship Id="rId2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Relationship Id="rId2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Relationship Id="rId2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Relationship Id="rId2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S643"/>
  <sheetViews>
    <sheetView zoomScale="125" zoomScaleNormal="125" zoomScalePageLayoutView="125" workbookViewId="0">
      <pane ySplit="1" topLeftCell="A2" activePane="bottomLeft" state="frozen"/>
      <selection pane="bottomLeft" activeCell="J1" sqref="J1"/>
    </sheetView>
  </sheetViews>
  <sheetFormatPr baseColWidth="10" defaultRowHeight="15" x14ac:dyDescent="0"/>
  <cols>
    <col min="1" max="1" width="10.1640625" bestFit="1" customWidth="1"/>
    <col min="2" max="2" width="8.33203125" bestFit="1" customWidth="1"/>
    <col min="3" max="3" width="9.33203125" bestFit="1" customWidth="1"/>
    <col min="4" max="4" width="10.83203125" style="1"/>
    <col min="7" max="7" width="9" bestFit="1" customWidth="1"/>
    <col min="8" max="8" width="8" bestFit="1" customWidth="1"/>
    <col min="9" max="12" width="10.83203125" style="18"/>
    <col min="14" max="14" width="6" bestFit="1" customWidth="1"/>
    <col min="15" max="15" width="9.1640625" bestFit="1" customWidth="1"/>
    <col min="16" max="16" width="3.83203125" bestFit="1" customWidth="1"/>
    <col min="17" max="18" width="4.33203125" bestFit="1" customWidth="1"/>
    <col min="19" max="19" width="4.83203125" bestFit="1" customWidth="1"/>
  </cols>
  <sheetData>
    <row r="1" spans="1:19" s="12" customFormat="1">
      <c r="A1" s="12" t="s">
        <v>538</v>
      </c>
      <c r="B1" s="12" t="s">
        <v>553</v>
      </c>
      <c r="C1" s="12" t="s">
        <v>529</v>
      </c>
      <c r="D1" s="13" t="s">
        <v>540</v>
      </c>
      <c r="E1" s="12" t="s">
        <v>539</v>
      </c>
      <c r="F1" s="12" t="s">
        <v>530</v>
      </c>
      <c r="G1" s="12" t="s">
        <v>6</v>
      </c>
      <c r="H1" s="12" t="s">
        <v>533</v>
      </c>
      <c r="I1" s="17" t="s">
        <v>536</v>
      </c>
      <c r="J1" s="17" t="s">
        <v>537</v>
      </c>
      <c r="K1" s="17" t="s">
        <v>534</v>
      </c>
      <c r="L1" s="17" t="s">
        <v>535</v>
      </c>
      <c r="N1" s="16" t="b">
        <v>0</v>
      </c>
      <c r="O1" s="16" t="s">
        <v>551</v>
      </c>
      <c r="P1" t="s">
        <v>548</v>
      </c>
      <c r="Q1">
        <v>128</v>
      </c>
      <c r="R1">
        <v>0.3</v>
      </c>
      <c r="S1" s="16" t="s">
        <v>556</v>
      </c>
    </row>
    <row r="2" spans="1:19">
      <c r="A2" t="s">
        <v>556</v>
      </c>
      <c r="B2">
        <v>0.5</v>
      </c>
      <c r="C2">
        <v>256</v>
      </c>
      <c r="D2" t="b">
        <v>0</v>
      </c>
      <c r="E2" t="s">
        <v>547</v>
      </c>
      <c r="F2" t="s">
        <v>532</v>
      </c>
      <c r="G2" t="s">
        <v>3</v>
      </c>
      <c r="H2">
        <v>120</v>
      </c>
      <c r="I2">
        <v>0.98160000000000003</v>
      </c>
      <c r="J2">
        <v>0.70150000000000001</v>
      </c>
      <c r="K2">
        <v>1.5972999999999999</v>
      </c>
      <c r="L2">
        <v>0.57350000000000001</v>
      </c>
    </row>
    <row r="3" spans="1:19">
      <c r="A3" t="s">
        <v>528</v>
      </c>
      <c r="B3">
        <v>0.5</v>
      </c>
      <c r="C3">
        <v>128</v>
      </c>
      <c r="D3" s="1" t="b">
        <v>0</v>
      </c>
      <c r="E3" t="s">
        <v>548</v>
      </c>
      <c r="F3" t="s">
        <v>532</v>
      </c>
      <c r="G3" t="s">
        <v>2</v>
      </c>
      <c r="H3" s="11">
        <v>73</v>
      </c>
      <c r="I3" s="18">
        <v>1.0187999999999999</v>
      </c>
      <c r="J3" s="18">
        <v>0.69730000000000003</v>
      </c>
      <c r="K3" s="18">
        <v>1.6406000000000001</v>
      </c>
      <c r="L3" s="18">
        <v>0.56850000000000001</v>
      </c>
      <c r="O3" s="16"/>
    </row>
    <row r="4" spans="1:19">
      <c r="A4" t="s">
        <v>528</v>
      </c>
      <c r="B4">
        <v>0.5</v>
      </c>
      <c r="C4">
        <v>64</v>
      </c>
      <c r="D4" s="1" t="b">
        <v>0</v>
      </c>
      <c r="E4" t="s">
        <v>548</v>
      </c>
      <c r="F4" t="s">
        <v>532</v>
      </c>
      <c r="G4" t="s">
        <v>5</v>
      </c>
      <c r="H4" s="11">
        <v>48</v>
      </c>
      <c r="I4" s="18">
        <v>0.86990000000000001</v>
      </c>
      <c r="J4" s="18">
        <v>0.74739999999999995</v>
      </c>
      <c r="K4" s="18">
        <v>1.6950000000000001</v>
      </c>
      <c r="L4" s="18">
        <v>0.56799999999999995</v>
      </c>
    </row>
    <row r="5" spans="1:19">
      <c r="A5" t="s">
        <v>556</v>
      </c>
      <c r="B5">
        <v>0.5</v>
      </c>
      <c r="C5">
        <v>256</v>
      </c>
      <c r="D5" t="b">
        <v>0</v>
      </c>
      <c r="E5" t="s">
        <v>547</v>
      </c>
      <c r="F5" t="s">
        <v>532</v>
      </c>
      <c r="G5" t="s">
        <v>5</v>
      </c>
      <c r="H5">
        <v>120</v>
      </c>
      <c r="I5">
        <v>0.86160000000000003</v>
      </c>
      <c r="J5">
        <v>0.74039999999999995</v>
      </c>
      <c r="K5">
        <v>1.6245000000000001</v>
      </c>
      <c r="L5">
        <v>0.56699999999999995</v>
      </c>
    </row>
    <row r="6" spans="1:19">
      <c r="A6" t="s">
        <v>528</v>
      </c>
      <c r="B6">
        <v>0.5</v>
      </c>
      <c r="C6">
        <v>128</v>
      </c>
      <c r="D6" s="1" t="b">
        <v>0</v>
      </c>
      <c r="E6" t="s">
        <v>547</v>
      </c>
      <c r="F6" t="s">
        <v>532</v>
      </c>
      <c r="G6" t="s">
        <v>5</v>
      </c>
      <c r="H6" s="11">
        <v>75</v>
      </c>
      <c r="I6" s="18">
        <v>1.1315</v>
      </c>
      <c r="J6" s="18">
        <v>0.65759999999999996</v>
      </c>
      <c r="K6" s="18">
        <v>1.6637</v>
      </c>
      <c r="L6" s="18">
        <v>0.56699999999999995</v>
      </c>
    </row>
    <row r="7" spans="1:19">
      <c r="A7" t="s">
        <v>528</v>
      </c>
      <c r="B7">
        <v>0.1</v>
      </c>
      <c r="C7">
        <v>256</v>
      </c>
      <c r="D7" s="1" t="b">
        <v>1</v>
      </c>
      <c r="E7" t="s">
        <v>548</v>
      </c>
      <c r="F7" t="s">
        <v>532</v>
      </c>
      <c r="G7" t="s">
        <v>1</v>
      </c>
      <c r="H7" s="11">
        <v>282</v>
      </c>
      <c r="I7" s="18">
        <v>0.76839999999999997</v>
      </c>
      <c r="J7" s="18">
        <v>0.76839999999999997</v>
      </c>
      <c r="K7" s="18">
        <v>1.6969000000000001</v>
      </c>
      <c r="L7" s="18">
        <v>0.56699999999999995</v>
      </c>
    </row>
    <row r="8" spans="1:19">
      <c r="A8" t="s">
        <v>556</v>
      </c>
      <c r="B8">
        <v>0.3</v>
      </c>
      <c r="C8">
        <v>256</v>
      </c>
      <c r="D8" t="b">
        <v>0</v>
      </c>
      <c r="E8" t="s">
        <v>548</v>
      </c>
      <c r="F8" t="s">
        <v>532</v>
      </c>
      <c r="G8" t="s">
        <v>1</v>
      </c>
      <c r="H8">
        <v>115</v>
      </c>
      <c r="I8">
        <v>0.76690000000000003</v>
      </c>
      <c r="J8">
        <v>0.76880000000000004</v>
      </c>
      <c r="K8">
        <v>1.6671</v>
      </c>
      <c r="L8">
        <v>0.56599999999999995</v>
      </c>
      <c r="O8" s="16"/>
    </row>
    <row r="9" spans="1:19">
      <c r="A9" t="s">
        <v>528</v>
      </c>
      <c r="B9">
        <v>0.3</v>
      </c>
      <c r="C9">
        <v>64</v>
      </c>
      <c r="D9" s="1" t="b">
        <v>0</v>
      </c>
      <c r="E9" t="s">
        <v>547</v>
      </c>
      <c r="F9" t="s">
        <v>532</v>
      </c>
      <c r="G9" t="s">
        <v>5</v>
      </c>
      <c r="H9" s="11">
        <v>41</v>
      </c>
      <c r="I9" s="18">
        <v>1.0868</v>
      </c>
      <c r="J9" s="18">
        <v>0.67749999999999999</v>
      </c>
      <c r="K9" s="18">
        <v>1.7091000000000001</v>
      </c>
      <c r="L9" s="18">
        <v>0.5635</v>
      </c>
      <c r="O9" s="16"/>
    </row>
    <row r="10" spans="1:19">
      <c r="A10" t="s">
        <v>528</v>
      </c>
      <c r="B10">
        <v>0.3</v>
      </c>
      <c r="C10">
        <v>128</v>
      </c>
      <c r="D10" s="1" t="b">
        <v>0</v>
      </c>
      <c r="E10" t="s">
        <v>548</v>
      </c>
      <c r="F10" t="s">
        <v>532</v>
      </c>
      <c r="G10" t="s">
        <v>1</v>
      </c>
      <c r="H10" s="11">
        <v>73</v>
      </c>
      <c r="I10" s="18">
        <v>0.93379999999999996</v>
      </c>
      <c r="J10" s="18">
        <v>0.7248</v>
      </c>
      <c r="K10" s="18">
        <v>1.6236999999999999</v>
      </c>
      <c r="L10" s="18">
        <v>0.56299999999999994</v>
      </c>
      <c r="O10" s="16"/>
    </row>
    <row r="11" spans="1:19">
      <c r="A11" t="s">
        <v>556</v>
      </c>
      <c r="B11">
        <v>0.3</v>
      </c>
      <c r="C11">
        <v>64</v>
      </c>
      <c r="D11" t="b">
        <v>0</v>
      </c>
      <c r="E11" t="s">
        <v>547</v>
      </c>
      <c r="F11" t="s">
        <v>532</v>
      </c>
      <c r="G11" t="s">
        <v>5</v>
      </c>
      <c r="H11">
        <v>34</v>
      </c>
      <c r="I11">
        <v>0.8821</v>
      </c>
      <c r="J11">
        <v>0.74439999999999995</v>
      </c>
      <c r="K11">
        <v>1.6727000000000001</v>
      </c>
      <c r="L11">
        <v>0.56299999999999994</v>
      </c>
      <c r="O11" s="16"/>
    </row>
    <row r="12" spans="1:19">
      <c r="A12" t="s">
        <v>556</v>
      </c>
      <c r="B12">
        <v>0.3</v>
      </c>
      <c r="C12">
        <v>128</v>
      </c>
      <c r="D12" t="b">
        <v>0</v>
      </c>
      <c r="E12" t="s">
        <v>548</v>
      </c>
      <c r="F12" t="s">
        <v>532</v>
      </c>
      <c r="G12" t="s">
        <v>2</v>
      </c>
      <c r="H12">
        <v>58</v>
      </c>
      <c r="I12">
        <v>0.7319</v>
      </c>
      <c r="J12">
        <v>0.77890000000000004</v>
      </c>
      <c r="K12">
        <v>1.7057</v>
      </c>
      <c r="L12">
        <v>0.5615</v>
      </c>
      <c r="O12" s="16"/>
    </row>
    <row r="13" spans="1:19">
      <c r="A13" t="s">
        <v>556</v>
      </c>
      <c r="B13">
        <v>0.3</v>
      </c>
      <c r="C13">
        <v>64</v>
      </c>
      <c r="D13" t="b">
        <v>0</v>
      </c>
      <c r="E13" t="s">
        <v>547</v>
      </c>
      <c r="F13" t="s">
        <v>532</v>
      </c>
      <c r="G13" t="s">
        <v>3</v>
      </c>
      <c r="H13">
        <v>36</v>
      </c>
      <c r="I13">
        <v>1.0071000000000001</v>
      </c>
      <c r="J13">
        <v>0.69950000000000001</v>
      </c>
      <c r="K13">
        <v>1.7031000000000001</v>
      </c>
      <c r="L13">
        <v>0.56100000000000005</v>
      </c>
      <c r="O13" s="16"/>
    </row>
    <row r="14" spans="1:19">
      <c r="A14" t="s">
        <v>528</v>
      </c>
      <c r="B14">
        <v>0.3</v>
      </c>
      <c r="C14">
        <v>128</v>
      </c>
      <c r="D14" s="1" t="b">
        <v>0</v>
      </c>
      <c r="E14" t="s">
        <v>547</v>
      </c>
      <c r="F14" t="s">
        <v>532</v>
      </c>
      <c r="G14" t="s">
        <v>5</v>
      </c>
      <c r="H14" s="11">
        <v>70</v>
      </c>
      <c r="I14" s="18">
        <v>0.97889999999999999</v>
      </c>
      <c r="J14" s="18">
        <v>0.71160000000000001</v>
      </c>
      <c r="K14" s="18">
        <v>1.7085999999999999</v>
      </c>
      <c r="L14" s="18">
        <v>0.56100000000000005</v>
      </c>
    </row>
    <row r="15" spans="1:19">
      <c r="A15" t="s">
        <v>528</v>
      </c>
      <c r="B15">
        <v>0.3</v>
      </c>
      <c r="C15">
        <v>128</v>
      </c>
      <c r="D15" s="1" t="b">
        <v>0</v>
      </c>
      <c r="E15" t="s">
        <v>548</v>
      </c>
      <c r="F15" t="s">
        <v>532</v>
      </c>
      <c r="G15" t="s">
        <v>2</v>
      </c>
      <c r="H15" s="11">
        <v>73</v>
      </c>
      <c r="I15" s="18">
        <v>0.86319999999999997</v>
      </c>
      <c r="J15" s="18">
        <v>0.748</v>
      </c>
      <c r="K15" s="18">
        <v>1.659</v>
      </c>
      <c r="L15" s="18">
        <v>0.5605</v>
      </c>
    </row>
    <row r="16" spans="1:19">
      <c r="A16" t="s">
        <v>556</v>
      </c>
      <c r="B16">
        <v>0.1</v>
      </c>
      <c r="C16">
        <v>256</v>
      </c>
      <c r="D16" t="b">
        <v>0</v>
      </c>
      <c r="E16" t="s">
        <v>547</v>
      </c>
      <c r="F16" t="s">
        <v>532</v>
      </c>
      <c r="G16" t="s">
        <v>4</v>
      </c>
      <c r="H16">
        <v>134</v>
      </c>
      <c r="I16">
        <v>0.61909999999999998</v>
      </c>
      <c r="J16">
        <v>0.81740000000000002</v>
      </c>
      <c r="K16">
        <v>1.7210000000000001</v>
      </c>
      <c r="L16">
        <v>0.5605</v>
      </c>
    </row>
    <row r="17" spans="1:12">
      <c r="A17" t="s">
        <v>556</v>
      </c>
      <c r="B17">
        <v>0.3</v>
      </c>
      <c r="C17">
        <v>128</v>
      </c>
      <c r="D17" t="b">
        <v>0</v>
      </c>
      <c r="E17" t="s">
        <v>547</v>
      </c>
      <c r="F17" t="s">
        <v>532</v>
      </c>
      <c r="G17" t="s">
        <v>1</v>
      </c>
      <c r="H17">
        <v>60</v>
      </c>
      <c r="I17">
        <v>1.0066999999999999</v>
      </c>
      <c r="J17">
        <v>0.7</v>
      </c>
      <c r="K17">
        <v>1.6620999999999999</v>
      </c>
      <c r="L17">
        <v>0.56000000000000005</v>
      </c>
    </row>
    <row r="18" spans="1:12">
      <c r="A18" t="s">
        <v>528</v>
      </c>
      <c r="B18">
        <v>0.1</v>
      </c>
      <c r="C18">
        <v>256</v>
      </c>
      <c r="D18" s="1" t="b">
        <v>0</v>
      </c>
      <c r="E18" t="s">
        <v>547</v>
      </c>
      <c r="F18" t="s">
        <v>532</v>
      </c>
      <c r="G18" t="s">
        <v>3</v>
      </c>
      <c r="H18" s="11">
        <v>150</v>
      </c>
      <c r="I18" s="18">
        <v>1.0213000000000001</v>
      </c>
      <c r="J18" s="18">
        <v>0.69410000000000005</v>
      </c>
      <c r="K18" s="18">
        <v>1.6809000000000001</v>
      </c>
      <c r="L18" s="18">
        <v>0.56000000000000005</v>
      </c>
    </row>
    <row r="19" spans="1:12">
      <c r="A19" t="s">
        <v>528</v>
      </c>
      <c r="B19">
        <v>0.1</v>
      </c>
      <c r="C19">
        <v>64</v>
      </c>
      <c r="D19" s="1" t="b">
        <v>0</v>
      </c>
      <c r="E19" t="s">
        <v>548</v>
      </c>
      <c r="F19" t="s">
        <v>532</v>
      </c>
      <c r="G19" t="s">
        <v>4</v>
      </c>
      <c r="H19" s="11">
        <v>47</v>
      </c>
      <c r="I19" s="18">
        <v>0.66339999999999999</v>
      </c>
      <c r="J19" s="18">
        <v>0.80600000000000005</v>
      </c>
      <c r="K19" s="18">
        <v>1.8407</v>
      </c>
      <c r="L19" s="18">
        <v>0.5595</v>
      </c>
    </row>
    <row r="20" spans="1:12">
      <c r="A20" t="s">
        <v>556</v>
      </c>
      <c r="B20">
        <v>0.3</v>
      </c>
      <c r="C20">
        <v>128</v>
      </c>
      <c r="D20" t="b">
        <v>0</v>
      </c>
      <c r="E20" t="s">
        <v>547</v>
      </c>
      <c r="F20" t="s">
        <v>532</v>
      </c>
      <c r="G20" t="s">
        <v>3</v>
      </c>
      <c r="H20">
        <v>61</v>
      </c>
      <c r="I20">
        <v>0.86539999999999995</v>
      </c>
      <c r="J20">
        <v>0.74419999999999997</v>
      </c>
      <c r="K20">
        <v>1.6264000000000001</v>
      </c>
      <c r="L20">
        <v>0.55900000000000005</v>
      </c>
    </row>
    <row r="21" spans="1:12">
      <c r="A21" t="s">
        <v>556</v>
      </c>
      <c r="B21">
        <v>0.5</v>
      </c>
      <c r="C21">
        <v>256</v>
      </c>
      <c r="D21" t="b">
        <v>0</v>
      </c>
      <c r="E21" t="s">
        <v>547</v>
      </c>
      <c r="F21" t="s">
        <v>532</v>
      </c>
      <c r="G21" t="s">
        <v>2</v>
      </c>
      <c r="H21">
        <v>120</v>
      </c>
      <c r="I21">
        <v>1.0327</v>
      </c>
      <c r="J21">
        <v>0.68710000000000004</v>
      </c>
      <c r="K21">
        <v>1.6281000000000001</v>
      </c>
      <c r="L21">
        <v>0.55900000000000005</v>
      </c>
    </row>
    <row r="22" spans="1:12">
      <c r="A22" t="s">
        <v>556</v>
      </c>
      <c r="B22">
        <v>0.3</v>
      </c>
      <c r="C22">
        <v>64</v>
      </c>
      <c r="D22" t="b">
        <v>0</v>
      </c>
      <c r="E22" t="s">
        <v>547</v>
      </c>
      <c r="F22" t="s">
        <v>532</v>
      </c>
      <c r="G22" t="s">
        <v>4</v>
      </c>
      <c r="H22">
        <v>35</v>
      </c>
      <c r="I22">
        <v>0.95050000000000001</v>
      </c>
      <c r="J22">
        <v>0.71840000000000004</v>
      </c>
      <c r="K22">
        <v>1.6904999999999999</v>
      </c>
      <c r="L22">
        <v>0.55900000000000005</v>
      </c>
    </row>
    <row r="23" spans="1:12">
      <c r="A23" t="s">
        <v>528</v>
      </c>
      <c r="B23">
        <v>0.3</v>
      </c>
      <c r="C23">
        <v>256</v>
      </c>
      <c r="D23" s="1" t="b">
        <v>0</v>
      </c>
      <c r="E23" t="s">
        <v>548</v>
      </c>
      <c r="F23" t="s">
        <v>532</v>
      </c>
      <c r="G23" t="s">
        <v>5</v>
      </c>
      <c r="H23" s="11">
        <v>146</v>
      </c>
      <c r="I23" s="18">
        <v>0.72060000000000002</v>
      </c>
      <c r="J23" s="18">
        <v>0.78749999999999998</v>
      </c>
      <c r="K23" s="18">
        <v>1.6993</v>
      </c>
      <c r="L23" s="18">
        <v>0.55900000000000005</v>
      </c>
    </row>
    <row r="24" spans="1:12">
      <c r="A24" t="s">
        <v>556</v>
      </c>
      <c r="B24">
        <v>0.5</v>
      </c>
      <c r="C24">
        <v>128</v>
      </c>
      <c r="D24" t="b">
        <v>0</v>
      </c>
      <c r="E24" t="s">
        <v>547</v>
      </c>
      <c r="F24" t="s">
        <v>531</v>
      </c>
      <c r="G24" t="s">
        <v>0</v>
      </c>
      <c r="H24">
        <v>61</v>
      </c>
      <c r="I24">
        <v>0.54490000000000005</v>
      </c>
      <c r="J24">
        <v>0.83950000000000002</v>
      </c>
      <c r="K24">
        <v>1.776</v>
      </c>
      <c r="L24">
        <v>0.55900000000000005</v>
      </c>
    </row>
    <row r="25" spans="1:12">
      <c r="A25" t="s">
        <v>556</v>
      </c>
      <c r="B25">
        <v>0.5</v>
      </c>
      <c r="C25">
        <v>128</v>
      </c>
      <c r="D25" t="b">
        <v>0</v>
      </c>
      <c r="E25" t="s">
        <v>547</v>
      </c>
      <c r="F25" t="s">
        <v>532</v>
      </c>
      <c r="G25" t="s">
        <v>3</v>
      </c>
      <c r="H25">
        <v>61</v>
      </c>
      <c r="I25">
        <v>1.0429999999999999</v>
      </c>
      <c r="J25">
        <v>0.6875</v>
      </c>
      <c r="K25">
        <v>1.6319999999999999</v>
      </c>
      <c r="L25">
        <v>0.5585</v>
      </c>
    </row>
    <row r="26" spans="1:12">
      <c r="A26" t="s">
        <v>556</v>
      </c>
      <c r="B26">
        <v>0.3</v>
      </c>
      <c r="C26">
        <v>256</v>
      </c>
      <c r="D26" t="b">
        <v>0</v>
      </c>
      <c r="E26" t="s">
        <v>548</v>
      </c>
      <c r="F26" t="s">
        <v>532</v>
      </c>
      <c r="G26" t="s">
        <v>3</v>
      </c>
      <c r="H26">
        <v>114</v>
      </c>
      <c r="I26">
        <v>0.64490000000000003</v>
      </c>
      <c r="J26">
        <v>0.81079999999999997</v>
      </c>
      <c r="K26">
        <v>1.7118</v>
      </c>
      <c r="L26">
        <v>0.5585</v>
      </c>
    </row>
    <row r="27" spans="1:12">
      <c r="A27" t="s">
        <v>528</v>
      </c>
      <c r="B27">
        <v>0.5</v>
      </c>
      <c r="C27">
        <v>64</v>
      </c>
      <c r="D27" s="1" t="b">
        <v>0</v>
      </c>
      <c r="E27" t="s">
        <v>548</v>
      </c>
      <c r="F27" t="s">
        <v>532</v>
      </c>
      <c r="G27" t="s">
        <v>3</v>
      </c>
      <c r="H27" s="11">
        <v>49</v>
      </c>
      <c r="I27" s="18">
        <v>0.97230000000000005</v>
      </c>
      <c r="J27" s="18">
        <v>0.71260000000000001</v>
      </c>
      <c r="K27" s="18">
        <v>1.7457</v>
      </c>
      <c r="L27" s="18">
        <v>0.55800000000000005</v>
      </c>
    </row>
    <row r="28" spans="1:12">
      <c r="A28" t="s">
        <v>528</v>
      </c>
      <c r="B28">
        <v>0.5</v>
      </c>
      <c r="C28">
        <v>256</v>
      </c>
      <c r="D28" s="1" t="b">
        <v>0</v>
      </c>
      <c r="E28" t="s">
        <v>548</v>
      </c>
      <c r="F28" t="s">
        <v>532</v>
      </c>
      <c r="G28" t="s">
        <v>4</v>
      </c>
      <c r="H28" s="11">
        <v>139</v>
      </c>
      <c r="I28" s="18">
        <v>0.92600000000000005</v>
      </c>
      <c r="J28" s="18">
        <v>0.72460000000000002</v>
      </c>
      <c r="K28" s="18">
        <v>1.6722999999999999</v>
      </c>
      <c r="L28" s="18">
        <v>0.5575</v>
      </c>
    </row>
    <row r="29" spans="1:12">
      <c r="A29" t="s">
        <v>556</v>
      </c>
      <c r="B29">
        <v>0.3</v>
      </c>
      <c r="C29">
        <v>256</v>
      </c>
      <c r="D29" t="b">
        <v>0</v>
      </c>
      <c r="E29" t="s">
        <v>547</v>
      </c>
      <c r="F29" t="s">
        <v>532</v>
      </c>
      <c r="G29" t="s">
        <v>4</v>
      </c>
      <c r="H29">
        <v>119</v>
      </c>
      <c r="I29">
        <v>0.7621</v>
      </c>
      <c r="J29">
        <v>0.77070000000000005</v>
      </c>
      <c r="K29">
        <v>1.639</v>
      </c>
      <c r="L29">
        <v>0.55700000000000005</v>
      </c>
    </row>
    <row r="30" spans="1:12">
      <c r="A30" t="s">
        <v>528</v>
      </c>
      <c r="B30">
        <v>0.3</v>
      </c>
      <c r="C30">
        <v>256</v>
      </c>
      <c r="D30" s="1" t="b">
        <v>0</v>
      </c>
      <c r="E30" t="s">
        <v>548</v>
      </c>
      <c r="F30" t="s">
        <v>532</v>
      </c>
      <c r="G30" t="s">
        <v>2</v>
      </c>
      <c r="H30" s="11">
        <v>140</v>
      </c>
      <c r="I30" s="18">
        <v>0.90449999999999997</v>
      </c>
      <c r="J30" s="18">
        <v>0.72709999999999997</v>
      </c>
      <c r="K30" s="18">
        <v>1.6526000000000001</v>
      </c>
      <c r="L30" s="18">
        <v>0.55700000000000005</v>
      </c>
    </row>
    <row r="31" spans="1:12">
      <c r="A31" t="s">
        <v>556</v>
      </c>
      <c r="B31">
        <v>0.3</v>
      </c>
      <c r="C31">
        <v>256</v>
      </c>
      <c r="D31" t="b">
        <v>0</v>
      </c>
      <c r="E31" t="s">
        <v>548</v>
      </c>
      <c r="F31" t="s">
        <v>532</v>
      </c>
      <c r="G31" t="s">
        <v>2</v>
      </c>
      <c r="H31">
        <v>115</v>
      </c>
      <c r="I31">
        <v>0.71309999999999996</v>
      </c>
      <c r="J31">
        <v>0.78710000000000002</v>
      </c>
      <c r="K31">
        <v>1.7745</v>
      </c>
      <c r="L31">
        <v>0.55700000000000005</v>
      </c>
    </row>
    <row r="32" spans="1:12">
      <c r="A32" t="s">
        <v>556</v>
      </c>
      <c r="B32">
        <v>0.5</v>
      </c>
      <c r="C32">
        <v>256</v>
      </c>
      <c r="D32" t="b">
        <v>0</v>
      </c>
      <c r="E32" t="s">
        <v>548</v>
      </c>
      <c r="F32" t="s">
        <v>532</v>
      </c>
      <c r="G32" t="s">
        <v>2</v>
      </c>
      <c r="H32">
        <v>115</v>
      </c>
      <c r="I32">
        <v>0.90600000000000003</v>
      </c>
      <c r="J32">
        <v>0.7238</v>
      </c>
      <c r="K32">
        <v>1.6475</v>
      </c>
      <c r="L32">
        <v>0.55649999999999999</v>
      </c>
    </row>
    <row r="33" spans="1:12">
      <c r="A33" t="s">
        <v>556</v>
      </c>
      <c r="B33">
        <v>0.5</v>
      </c>
      <c r="C33">
        <v>64</v>
      </c>
      <c r="D33" t="b">
        <v>0</v>
      </c>
      <c r="E33" t="s">
        <v>547</v>
      </c>
      <c r="F33" t="s">
        <v>532</v>
      </c>
      <c r="G33" t="s">
        <v>4</v>
      </c>
      <c r="H33">
        <v>39</v>
      </c>
      <c r="I33">
        <v>1.1357999999999999</v>
      </c>
      <c r="J33">
        <v>0.66690000000000005</v>
      </c>
      <c r="K33">
        <v>1.6559999999999999</v>
      </c>
      <c r="L33">
        <v>0.55649999999999999</v>
      </c>
    </row>
    <row r="34" spans="1:12">
      <c r="A34" t="s">
        <v>556</v>
      </c>
      <c r="B34">
        <v>0.5</v>
      </c>
      <c r="C34">
        <v>64</v>
      </c>
      <c r="D34" t="b">
        <v>0</v>
      </c>
      <c r="E34" t="s">
        <v>547</v>
      </c>
      <c r="F34" t="s">
        <v>531</v>
      </c>
      <c r="G34" t="s">
        <v>3</v>
      </c>
      <c r="H34">
        <v>38</v>
      </c>
      <c r="I34">
        <v>0.42520000000000002</v>
      </c>
      <c r="J34">
        <v>0.87890000000000001</v>
      </c>
      <c r="K34">
        <v>1.9422999999999999</v>
      </c>
      <c r="L34">
        <v>0.55649999999999999</v>
      </c>
    </row>
    <row r="35" spans="1:12">
      <c r="A35" t="s">
        <v>528</v>
      </c>
      <c r="B35">
        <v>0.5</v>
      </c>
      <c r="C35">
        <v>128</v>
      </c>
      <c r="D35" s="1" t="b">
        <v>0</v>
      </c>
      <c r="E35" t="s">
        <v>548</v>
      </c>
      <c r="F35" t="s">
        <v>532</v>
      </c>
      <c r="G35" t="s">
        <v>4</v>
      </c>
      <c r="H35" s="11">
        <v>74</v>
      </c>
      <c r="I35" s="18">
        <v>0.89380000000000004</v>
      </c>
      <c r="J35" s="18">
        <v>0.73280000000000001</v>
      </c>
      <c r="K35" s="18">
        <v>1.6259999999999999</v>
      </c>
      <c r="L35" s="18">
        <v>0.55600000000000005</v>
      </c>
    </row>
    <row r="36" spans="1:12">
      <c r="A36" t="s">
        <v>556</v>
      </c>
      <c r="B36">
        <v>0.1</v>
      </c>
      <c r="C36">
        <v>128</v>
      </c>
      <c r="D36" t="b">
        <v>0</v>
      </c>
      <c r="E36" t="s">
        <v>547</v>
      </c>
      <c r="F36" t="s">
        <v>532</v>
      </c>
      <c r="G36" t="s">
        <v>2</v>
      </c>
      <c r="H36">
        <v>56</v>
      </c>
      <c r="I36">
        <v>0.84660000000000002</v>
      </c>
      <c r="J36">
        <v>0.75160000000000005</v>
      </c>
      <c r="K36">
        <v>1.6528</v>
      </c>
      <c r="L36">
        <v>0.55600000000000005</v>
      </c>
    </row>
    <row r="37" spans="1:12">
      <c r="A37" t="s">
        <v>528</v>
      </c>
      <c r="B37">
        <v>0.5</v>
      </c>
      <c r="C37">
        <v>64</v>
      </c>
      <c r="D37" s="1" t="b">
        <v>0</v>
      </c>
      <c r="E37" t="s">
        <v>548</v>
      </c>
      <c r="F37" t="s">
        <v>532</v>
      </c>
      <c r="G37" t="s">
        <v>1</v>
      </c>
      <c r="H37" s="11">
        <v>49</v>
      </c>
      <c r="I37" s="18">
        <v>1.1114999999999999</v>
      </c>
      <c r="J37" s="18">
        <v>0.67330000000000001</v>
      </c>
      <c r="K37" s="18">
        <v>1.6641999999999999</v>
      </c>
      <c r="L37" s="18">
        <v>0.55600000000000005</v>
      </c>
    </row>
    <row r="38" spans="1:12">
      <c r="A38" t="s">
        <v>556</v>
      </c>
      <c r="B38">
        <v>0.5</v>
      </c>
      <c r="C38">
        <v>256</v>
      </c>
      <c r="D38" t="b">
        <v>0</v>
      </c>
      <c r="E38" t="s">
        <v>548</v>
      </c>
      <c r="F38" t="s">
        <v>532</v>
      </c>
      <c r="G38" t="s">
        <v>1</v>
      </c>
      <c r="H38">
        <v>115</v>
      </c>
      <c r="I38">
        <v>0.9728</v>
      </c>
      <c r="J38">
        <v>0.70409999999999995</v>
      </c>
      <c r="K38">
        <v>1.6774</v>
      </c>
      <c r="L38">
        <v>0.55600000000000005</v>
      </c>
    </row>
    <row r="39" spans="1:12">
      <c r="A39" t="s">
        <v>556</v>
      </c>
      <c r="B39">
        <v>0.5</v>
      </c>
      <c r="C39">
        <v>256</v>
      </c>
      <c r="D39" t="b">
        <v>0</v>
      </c>
      <c r="E39" t="s">
        <v>548</v>
      </c>
      <c r="F39" t="s">
        <v>532</v>
      </c>
      <c r="G39" t="s">
        <v>5</v>
      </c>
      <c r="H39">
        <v>115</v>
      </c>
      <c r="I39">
        <v>0.71260000000000001</v>
      </c>
      <c r="J39">
        <v>0.78159999999999996</v>
      </c>
      <c r="K39">
        <v>1.7443</v>
      </c>
      <c r="L39">
        <v>0.55600000000000005</v>
      </c>
    </row>
    <row r="40" spans="1:12">
      <c r="A40" t="s">
        <v>528</v>
      </c>
      <c r="B40">
        <v>0.1</v>
      </c>
      <c r="C40">
        <v>128</v>
      </c>
      <c r="D40" s="1" t="b">
        <v>0</v>
      </c>
      <c r="E40" t="s">
        <v>548</v>
      </c>
      <c r="F40" t="s">
        <v>532</v>
      </c>
      <c r="G40" t="s">
        <v>2</v>
      </c>
      <c r="H40" s="11">
        <v>72</v>
      </c>
      <c r="I40" s="18">
        <v>0.76759999999999995</v>
      </c>
      <c r="J40" s="18">
        <v>0.77159999999999995</v>
      </c>
      <c r="K40" s="18">
        <v>1.7309000000000001</v>
      </c>
      <c r="L40" s="18">
        <v>0.55549999999999999</v>
      </c>
    </row>
    <row r="41" spans="1:12">
      <c r="A41" t="s">
        <v>556</v>
      </c>
      <c r="B41">
        <v>0.3</v>
      </c>
      <c r="C41">
        <v>256</v>
      </c>
      <c r="D41" t="b">
        <v>0</v>
      </c>
      <c r="E41" t="s">
        <v>548</v>
      </c>
      <c r="F41" t="s">
        <v>532</v>
      </c>
      <c r="G41" t="s">
        <v>5</v>
      </c>
      <c r="H41">
        <v>113</v>
      </c>
      <c r="I41">
        <v>0.53600000000000003</v>
      </c>
      <c r="J41">
        <v>0.83589999999999998</v>
      </c>
      <c r="K41">
        <v>1.8609</v>
      </c>
      <c r="L41">
        <v>0.55549999999999999</v>
      </c>
    </row>
    <row r="42" spans="1:12">
      <c r="A42" t="s">
        <v>556</v>
      </c>
      <c r="B42">
        <v>0.3</v>
      </c>
      <c r="C42">
        <v>128</v>
      </c>
      <c r="D42" t="b">
        <v>0</v>
      </c>
      <c r="E42" t="s">
        <v>547</v>
      </c>
      <c r="F42" t="s">
        <v>532</v>
      </c>
      <c r="G42" t="s">
        <v>0</v>
      </c>
      <c r="H42">
        <v>60</v>
      </c>
      <c r="I42">
        <v>1.0611999999999999</v>
      </c>
      <c r="J42">
        <v>0.6875</v>
      </c>
      <c r="K42">
        <v>1.6368</v>
      </c>
      <c r="L42">
        <v>0.55500000000000005</v>
      </c>
    </row>
    <row r="43" spans="1:12">
      <c r="A43" t="s">
        <v>556</v>
      </c>
      <c r="B43">
        <v>0.5</v>
      </c>
      <c r="C43">
        <v>128</v>
      </c>
      <c r="D43" t="b">
        <v>0</v>
      </c>
      <c r="E43" t="s">
        <v>548</v>
      </c>
      <c r="F43" t="s">
        <v>532</v>
      </c>
      <c r="G43" t="s">
        <v>5</v>
      </c>
      <c r="H43">
        <v>58</v>
      </c>
      <c r="I43">
        <v>0.73229999999999995</v>
      </c>
      <c r="J43">
        <v>0.78090000000000004</v>
      </c>
      <c r="K43">
        <v>1.6818</v>
      </c>
      <c r="L43">
        <v>0.55500000000000005</v>
      </c>
    </row>
    <row r="44" spans="1:12">
      <c r="A44" t="s">
        <v>528</v>
      </c>
      <c r="B44">
        <v>0.3</v>
      </c>
      <c r="C44">
        <v>64</v>
      </c>
      <c r="D44" s="1" t="b">
        <v>0</v>
      </c>
      <c r="E44" t="s">
        <v>547</v>
      </c>
      <c r="F44" t="s">
        <v>532</v>
      </c>
      <c r="G44" t="s">
        <v>4</v>
      </c>
      <c r="H44" s="11">
        <v>41</v>
      </c>
      <c r="I44" s="18">
        <v>1.1672</v>
      </c>
      <c r="J44" s="18">
        <v>0.65410000000000001</v>
      </c>
      <c r="K44" s="18">
        <v>1.7074</v>
      </c>
      <c r="L44" s="18">
        <v>0.55500000000000005</v>
      </c>
    </row>
    <row r="45" spans="1:12">
      <c r="A45" t="s">
        <v>556</v>
      </c>
      <c r="B45">
        <v>0.5</v>
      </c>
      <c r="C45">
        <v>128</v>
      </c>
      <c r="D45" t="b">
        <v>0</v>
      </c>
      <c r="E45" t="s">
        <v>548</v>
      </c>
      <c r="F45" t="s">
        <v>532</v>
      </c>
      <c r="G45" t="s">
        <v>2</v>
      </c>
      <c r="H45">
        <v>58</v>
      </c>
      <c r="I45">
        <v>0.89229999999999998</v>
      </c>
      <c r="J45">
        <v>0.73370000000000002</v>
      </c>
      <c r="K45">
        <v>1.6407</v>
      </c>
      <c r="L45">
        <v>0.55449999999999999</v>
      </c>
    </row>
    <row r="46" spans="1:12">
      <c r="A46" t="s">
        <v>528</v>
      </c>
      <c r="B46">
        <v>0.1</v>
      </c>
      <c r="C46">
        <v>128</v>
      </c>
      <c r="D46" s="1" t="b">
        <v>0</v>
      </c>
      <c r="E46" t="s">
        <v>548</v>
      </c>
      <c r="F46" t="s">
        <v>532</v>
      </c>
      <c r="G46" t="s">
        <v>0</v>
      </c>
      <c r="H46" s="11">
        <v>72</v>
      </c>
      <c r="I46" s="18">
        <v>0.92149999999999999</v>
      </c>
      <c r="J46" s="18">
        <v>0.72860000000000003</v>
      </c>
      <c r="K46" s="18">
        <v>1.6588000000000001</v>
      </c>
      <c r="L46" s="18">
        <v>0.55449999999999999</v>
      </c>
    </row>
    <row r="47" spans="1:12">
      <c r="A47" t="s">
        <v>556</v>
      </c>
      <c r="B47">
        <v>0.3</v>
      </c>
      <c r="C47">
        <v>128</v>
      </c>
      <c r="D47" t="b">
        <v>0</v>
      </c>
      <c r="E47" t="s">
        <v>547</v>
      </c>
      <c r="F47" t="s">
        <v>532</v>
      </c>
      <c r="G47" t="s">
        <v>2</v>
      </c>
      <c r="H47">
        <v>63</v>
      </c>
      <c r="I47">
        <v>0.93710000000000004</v>
      </c>
      <c r="J47">
        <v>0.72450000000000003</v>
      </c>
      <c r="K47">
        <v>1.6677999999999999</v>
      </c>
      <c r="L47">
        <v>0.55449999999999999</v>
      </c>
    </row>
    <row r="48" spans="1:12">
      <c r="A48" t="s">
        <v>528</v>
      </c>
      <c r="B48">
        <v>0.5</v>
      </c>
      <c r="C48">
        <v>256</v>
      </c>
      <c r="D48" s="1" t="b">
        <v>0</v>
      </c>
      <c r="E48" t="s">
        <v>547</v>
      </c>
      <c r="F48" t="s">
        <v>532</v>
      </c>
      <c r="G48" t="s">
        <v>5</v>
      </c>
      <c r="H48" s="11">
        <v>149</v>
      </c>
      <c r="I48" s="18">
        <v>1.1086</v>
      </c>
      <c r="J48" s="18">
        <v>0.67349999999999999</v>
      </c>
      <c r="K48" s="18">
        <v>1.6700999999999999</v>
      </c>
      <c r="L48" s="18">
        <v>0.55449999999999999</v>
      </c>
    </row>
    <row r="49" spans="1:12">
      <c r="A49" t="s">
        <v>528</v>
      </c>
      <c r="B49">
        <v>0.5</v>
      </c>
      <c r="C49">
        <v>256</v>
      </c>
      <c r="D49" s="1" t="b">
        <v>0</v>
      </c>
      <c r="E49" t="s">
        <v>547</v>
      </c>
      <c r="F49" t="s">
        <v>531</v>
      </c>
      <c r="G49" t="s">
        <v>5</v>
      </c>
      <c r="H49" s="11">
        <v>145</v>
      </c>
      <c r="I49" s="18">
        <v>0.36969999999999997</v>
      </c>
      <c r="J49" s="18">
        <v>0.89159999999999995</v>
      </c>
      <c r="K49" s="18">
        <v>2.0588000000000002</v>
      </c>
      <c r="L49" s="18">
        <v>0.55449999999999999</v>
      </c>
    </row>
    <row r="50" spans="1:12">
      <c r="A50" t="s">
        <v>528</v>
      </c>
      <c r="B50">
        <v>0.5</v>
      </c>
      <c r="C50">
        <v>128</v>
      </c>
      <c r="D50" s="1" t="b">
        <v>0</v>
      </c>
      <c r="E50" t="s">
        <v>548</v>
      </c>
      <c r="F50" t="s">
        <v>532</v>
      </c>
      <c r="G50" t="s">
        <v>3</v>
      </c>
      <c r="H50" s="11">
        <v>74</v>
      </c>
      <c r="I50" s="18">
        <v>0.94399999999999995</v>
      </c>
      <c r="J50" s="18">
        <v>0.71989999999999998</v>
      </c>
      <c r="K50" s="18">
        <v>1.6692</v>
      </c>
      <c r="L50" s="18">
        <v>0.55400000000000005</v>
      </c>
    </row>
    <row r="51" spans="1:12">
      <c r="A51" t="s">
        <v>556</v>
      </c>
      <c r="B51">
        <v>0.1</v>
      </c>
      <c r="C51">
        <v>64</v>
      </c>
      <c r="D51" t="b">
        <v>0</v>
      </c>
      <c r="E51" t="s">
        <v>547</v>
      </c>
      <c r="F51" t="s">
        <v>532</v>
      </c>
      <c r="G51" t="s">
        <v>3</v>
      </c>
      <c r="H51">
        <v>33</v>
      </c>
      <c r="I51">
        <v>0.88149999999999995</v>
      </c>
      <c r="J51">
        <v>0.73950000000000005</v>
      </c>
      <c r="K51">
        <v>1.6837</v>
      </c>
      <c r="L51">
        <v>0.55400000000000005</v>
      </c>
    </row>
    <row r="52" spans="1:12">
      <c r="A52" t="s">
        <v>556</v>
      </c>
      <c r="B52">
        <v>0.1</v>
      </c>
      <c r="C52">
        <v>64</v>
      </c>
      <c r="D52" t="b">
        <v>0</v>
      </c>
      <c r="E52" t="s">
        <v>547</v>
      </c>
      <c r="F52" t="s">
        <v>532</v>
      </c>
      <c r="G52" t="s">
        <v>5</v>
      </c>
      <c r="H52">
        <v>33</v>
      </c>
      <c r="I52">
        <v>0.7429</v>
      </c>
      <c r="J52">
        <v>0.78939999999999999</v>
      </c>
      <c r="K52">
        <v>1.7182999999999999</v>
      </c>
      <c r="L52">
        <v>0.55400000000000005</v>
      </c>
    </row>
    <row r="53" spans="1:12">
      <c r="A53" t="s">
        <v>528</v>
      </c>
      <c r="B53">
        <v>0.3</v>
      </c>
      <c r="C53">
        <v>256</v>
      </c>
      <c r="D53" s="1" t="b">
        <v>0</v>
      </c>
      <c r="E53" t="s">
        <v>547</v>
      </c>
      <c r="F53" t="s">
        <v>531</v>
      </c>
      <c r="G53" t="s">
        <v>3</v>
      </c>
      <c r="H53" s="11">
        <v>143</v>
      </c>
      <c r="I53" s="18">
        <v>0.31209999999999999</v>
      </c>
      <c r="J53" s="18">
        <v>0.91049999999999998</v>
      </c>
      <c r="K53" s="18">
        <v>2.0070000000000001</v>
      </c>
      <c r="L53" s="18">
        <v>0.55400000000000005</v>
      </c>
    </row>
    <row r="54" spans="1:12">
      <c r="A54" t="s">
        <v>528</v>
      </c>
      <c r="B54">
        <v>0.5</v>
      </c>
      <c r="C54">
        <v>256</v>
      </c>
      <c r="D54" s="1" t="b">
        <v>0</v>
      </c>
      <c r="E54" t="s">
        <v>548</v>
      </c>
      <c r="F54" t="s">
        <v>532</v>
      </c>
      <c r="G54" t="s">
        <v>5</v>
      </c>
      <c r="H54" s="11">
        <v>140</v>
      </c>
      <c r="I54" s="18">
        <v>0.87450000000000006</v>
      </c>
      <c r="J54" s="18">
        <v>0.74339999999999995</v>
      </c>
      <c r="K54" s="18">
        <v>1.6587000000000001</v>
      </c>
      <c r="L54" s="18">
        <v>0.55349999999999999</v>
      </c>
    </row>
    <row r="55" spans="1:12">
      <c r="A55" t="s">
        <v>556</v>
      </c>
      <c r="B55">
        <v>0.1</v>
      </c>
      <c r="C55">
        <v>128</v>
      </c>
      <c r="D55" t="b">
        <v>0</v>
      </c>
      <c r="E55" t="s">
        <v>547</v>
      </c>
      <c r="F55" t="s">
        <v>532</v>
      </c>
      <c r="G55" t="s">
        <v>3</v>
      </c>
      <c r="H55">
        <v>57</v>
      </c>
      <c r="I55">
        <v>0.77759999999999996</v>
      </c>
      <c r="J55">
        <v>0.76659999999999995</v>
      </c>
      <c r="K55">
        <v>1.6868000000000001</v>
      </c>
      <c r="L55">
        <v>0.55349999999999999</v>
      </c>
    </row>
    <row r="56" spans="1:12">
      <c r="A56" t="s">
        <v>528</v>
      </c>
      <c r="B56">
        <v>0.1</v>
      </c>
      <c r="C56">
        <v>256</v>
      </c>
      <c r="D56" s="1" t="b">
        <v>0</v>
      </c>
      <c r="E56" t="s">
        <v>547</v>
      </c>
      <c r="F56" t="s">
        <v>532</v>
      </c>
      <c r="G56" t="s">
        <v>4</v>
      </c>
      <c r="H56" s="11">
        <v>151</v>
      </c>
      <c r="I56" s="18">
        <v>0.94889999999999997</v>
      </c>
      <c r="J56" s="18">
        <v>0.71860000000000002</v>
      </c>
      <c r="K56" s="18">
        <v>1.6898</v>
      </c>
      <c r="L56" s="18">
        <v>0.55349999999999999</v>
      </c>
    </row>
    <row r="57" spans="1:12">
      <c r="A57" t="s">
        <v>556</v>
      </c>
      <c r="B57">
        <v>0.3</v>
      </c>
      <c r="C57">
        <v>64</v>
      </c>
      <c r="D57" t="b">
        <v>0</v>
      </c>
      <c r="E57" t="s">
        <v>547</v>
      </c>
      <c r="F57" t="s">
        <v>532</v>
      </c>
      <c r="G57" t="s">
        <v>2</v>
      </c>
      <c r="H57">
        <v>33</v>
      </c>
      <c r="I57">
        <v>1.0881000000000001</v>
      </c>
      <c r="J57">
        <v>0.68049999999999999</v>
      </c>
      <c r="K57">
        <v>1.6950000000000001</v>
      </c>
      <c r="L57">
        <v>0.55349999999999999</v>
      </c>
    </row>
    <row r="58" spans="1:12">
      <c r="A58" t="s">
        <v>528</v>
      </c>
      <c r="B58">
        <v>0.5</v>
      </c>
      <c r="C58">
        <v>64</v>
      </c>
      <c r="D58" s="1" t="b">
        <v>0</v>
      </c>
      <c r="E58" t="s">
        <v>548</v>
      </c>
      <c r="F58" t="s">
        <v>532</v>
      </c>
      <c r="G58" t="s">
        <v>2</v>
      </c>
      <c r="H58" s="11">
        <v>48</v>
      </c>
      <c r="I58" s="18">
        <v>1.0358000000000001</v>
      </c>
      <c r="J58" s="18">
        <v>0.69750000000000001</v>
      </c>
      <c r="K58" s="18">
        <v>1.7296</v>
      </c>
      <c r="L58" s="18">
        <v>0.55349999999999999</v>
      </c>
    </row>
    <row r="59" spans="1:12">
      <c r="A59" t="s">
        <v>556</v>
      </c>
      <c r="B59">
        <v>0.5</v>
      </c>
      <c r="C59">
        <v>128</v>
      </c>
      <c r="D59" t="b">
        <v>0</v>
      </c>
      <c r="E59" t="s">
        <v>547</v>
      </c>
      <c r="F59" t="s">
        <v>531</v>
      </c>
      <c r="G59" t="s">
        <v>3</v>
      </c>
      <c r="H59">
        <v>62</v>
      </c>
      <c r="I59">
        <v>0.37640000000000001</v>
      </c>
      <c r="J59">
        <v>0.88719999999999999</v>
      </c>
      <c r="K59">
        <v>1.8843000000000001</v>
      </c>
      <c r="L59">
        <v>0.55349999999999999</v>
      </c>
    </row>
    <row r="60" spans="1:12">
      <c r="A60" t="s">
        <v>556</v>
      </c>
      <c r="B60">
        <v>0.1</v>
      </c>
      <c r="C60">
        <v>64</v>
      </c>
      <c r="D60" t="b">
        <v>0</v>
      </c>
      <c r="E60" t="s">
        <v>547</v>
      </c>
      <c r="F60" t="s">
        <v>532</v>
      </c>
      <c r="G60" t="s">
        <v>4</v>
      </c>
      <c r="H60">
        <v>33</v>
      </c>
      <c r="I60">
        <v>0.81630000000000003</v>
      </c>
      <c r="J60">
        <v>0.76370000000000005</v>
      </c>
      <c r="K60">
        <v>1.7</v>
      </c>
      <c r="L60">
        <v>0.55300000000000005</v>
      </c>
    </row>
    <row r="61" spans="1:12">
      <c r="A61" t="s">
        <v>556</v>
      </c>
      <c r="B61">
        <v>0.1</v>
      </c>
      <c r="C61">
        <v>128</v>
      </c>
      <c r="D61" t="b">
        <v>0</v>
      </c>
      <c r="E61" t="s">
        <v>548</v>
      </c>
      <c r="F61" t="s">
        <v>532</v>
      </c>
      <c r="G61" t="s">
        <v>0</v>
      </c>
      <c r="H61">
        <v>57</v>
      </c>
      <c r="I61">
        <v>0.76290000000000002</v>
      </c>
      <c r="J61">
        <v>0.76970000000000005</v>
      </c>
      <c r="K61">
        <v>1.7017</v>
      </c>
      <c r="L61">
        <v>0.55300000000000005</v>
      </c>
    </row>
    <row r="62" spans="1:12">
      <c r="A62" t="s">
        <v>556</v>
      </c>
      <c r="B62">
        <v>0.3</v>
      </c>
      <c r="C62">
        <v>128</v>
      </c>
      <c r="D62" t="b">
        <v>0</v>
      </c>
      <c r="E62" t="s">
        <v>548</v>
      </c>
      <c r="F62" t="s">
        <v>532</v>
      </c>
      <c r="G62" t="s">
        <v>0</v>
      </c>
      <c r="H62">
        <v>58</v>
      </c>
      <c r="I62">
        <v>0.86329999999999996</v>
      </c>
      <c r="J62">
        <v>0.74280000000000002</v>
      </c>
      <c r="K62">
        <v>1.7229000000000001</v>
      </c>
      <c r="L62">
        <v>0.55300000000000005</v>
      </c>
    </row>
    <row r="63" spans="1:12">
      <c r="A63" t="s">
        <v>556</v>
      </c>
      <c r="B63">
        <v>0.1</v>
      </c>
      <c r="C63">
        <v>128</v>
      </c>
      <c r="D63" t="b">
        <v>0</v>
      </c>
      <c r="E63" t="s">
        <v>547</v>
      </c>
      <c r="F63" t="s">
        <v>532</v>
      </c>
      <c r="G63" t="s">
        <v>5</v>
      </c>
      <c r="H63">
        <v>56</v>
      </c>
      <c r="I63">
        <v>0.67620000000000002</v>
      </c>
      <c r="J63">
        <v>0.80330000000000001</v>
      </c>
      <c r="K63">
        <v>1.742</v>
      </c>
      <c r="L63">
        <v>0.55300000000000005</v>
      </c>
    </row>
    <row r="64" spans="1:12">
      <c r="A64" t="s">
        <v>556</v>
      </c>
      <c r="B64">
        <v>0.5</v>
      </c>
      <c r="C64">
        <v>256</v>
      </c>
      <c r="D64" t="b">
        <v>0</v>
      </c>
      <c r="E64" t="s">
        <v>547</v>
      </c>
      <c r="F64" t="s">
        <v>531</v>
      </c>
      <c r="G64" t="s">
        <v>4</v>
      </c>
      <c r="H64">
        <v>119</v>
      </c>
      <c r="I64">
        <v>0.2913</v>
      </c>
      <c r="J64">
        <v>0.91539999999999999</v>
      </c>
      <c r="K64">
        <v>1.9677</v>
      </c>
      <c r="L64">
        <v>0.55300000000000005</v>
      </c>
    </row>
    <row r="65" spans="1:12">
      <c r="A65" t="s">
        <v>556</v>
      </c>
      <c r="B65">
        <v>0.5</v>
      </c>
      <c r="C65">
        <v>128</v>
      </c>
      <c r="D65" t="b">
        <v>0</v>
      </c>
      <c r="E65" t="s">
        <v>547</v>
      </c>
      <c r="F65" t="s">
        <v>532</v>
      </c>
      <c r="G65" t="s">
        <v>5</v>
      </c>
      <c r="H65">
        <v>61</v>
      </c>
      <c r="I65">
        <v>0.95069999999999999</v>
      </c>
      <c r="J65">
        <v>0.71630000000000005</v>
      </c>
      <c r="K65">
        <v>1.6247</v>
      </c>
      <c r="L65">
        <v>0.55249999999999999</v>
      </c>
    </row>
    <row r="66" spans="1:12">
      <c r="A66" t="s">
        <v>556</v>
      </c>
      <c r="B66">
        <v>0.5</v>
      </c>
      <c r="C66">
        <v>128</v>
      </c>
      <c r="D66" t="b">
        <v>0</v>
      </c>
      <c r="E66" t="s">
        <v>547</v>
      </c>
      <c r="F66" t="s">
        <v>532</v>
      </c>
      <c r="G66" t="s">
        <v>2</v>
      </c>
      <c r="H66">
        <v>61</v>
      </c>
      <c r="I66">
        <v>1.1060000000000001</v>
      </c>
      <c r="J66">
        <v>0.67279999999999995</v>
      </c>
      <c r="K66">
        <v>1.6292</v>
      </c>
      <c r="L66">
        <v>0.55249999999999999</v>
      </c>
    </row>
    <row r="67" spans="1:12">
      <c r="A67" t="s">
        <v>528</v>
      </c>
      <c r="B67">
        <v>0.3</v>
      </c>
      <c r="C67">
        <v>256</v>
      </c>
      <c r="D67" s="1" t="b">
        <v>0</v>
      </c>
      <c r="E67" t="s">
        <v>547</v>
      </c>
      <c r="F67" t="s">
        <v>532</v>
      </c>
      <c r="G67" t="s">
        <v>2</v>
      </c>
      <c r="H67" s="11">
        <v>149</v>
      </c>
      <c r="I67" s="18">
        <v>1.2101999999999999</v>
      </c>
      <c r="J67" s="18">
        <v>0.63739999999999997</v>
      </c>
      <c r="K67" s="18">
        <v>1.6997</v>
      </c>
      <c r="L67" s="18">
        <v>0.55249999999999999</v>
      </c>
    </row>
    <row r="68" spans="1:12">
      <c r="A68" t="s">
        <v>556</v>
      </c>
      <c r="B68">
        <v>0.5</v>
      </c>
      <c r="C68">
        <v>256</v>
      </c>
      <c r="D68" t="b">
        <v>0</v>
      </c>
      <c r="E68" t="s">
        <v>547</v>
      </c>
      <c r="F68" t="s">
        <v>532</v>
      </c>
      <c r="G68" t="s">
        <v>4</v>
      </c>
      <c r="H68">
        <v>120</v>
      </c>
      <c r="I68">
        <v>0.92490000000000006</v>
      </c>
      <c r="J68">
        <v>0.72360000000000002</v>
      </c>
      <c r="K68">
        <v>1.6735</v>
      </c>
      <c r="L68">
        <v>0.55200000000000005</v>
      </c>
    </row>
    <row r="69" spans="1:12">
      <c r="A69" t="s">
        <v>556</v>
      </c>
      <c r="B69">
        <v>0.3</v>
      </c>
      <c r="C69">
        <v>128</v>
      </c>
      <c r="D69" t="b">
        <v>0</v>
      </c>
      <c r="E69" t="s">
        <v>547</v>
      </c>
      <c r="F69" t="s">
        <v>532</v>
      </c>
      <c r="G69" t="s">
        <v>4</v>
      </c>
      <c r="H69">
        <v>64</v>
      </c>
      <c r="I69">
        <v>0.80859999999999999</v>
      </c>
      <c r="J69">
        <v>0.76749999999999996</v>
      </c>
      <c r="K69">
        <v>1.6738999999999999</v>
      </c>
      <c r="L69">
        <v>0.55200000000000005</v>
      </c>
    </row>
    <row r="70" spans="1:12">
      <c r="A70" t="s">
        <v>528</v>
      </c>
      <c r="B70">
        <v>0.1</v>
      </c>
      <c r="C70">
        <v>256</v>
      </c>
      <c r="D70" s="1" t="b">
        <v>1</v>
      </c>
      <c r="E70" t="s">
        <v>548</v>
      </c>
      <c r="F70" t="s">
        <v>532</v>
      </c>
      <c r="G70" t="s">
        <v>2</v>
      </c>
      <c r="H70" s="11">
        <v>284</v>
      </c>
      <c r="I70" s="18">
        <v>0.70089999999999997</v>
      </c>
      <c r="J70" s="18">
        <v>0.7923</v>
      </c>
      <c r="K70" s="18">
        <v>1.7456</v>
      </c>
      <c r="L70" s="18">
        <v>0.55200000000000005</v>
      </c>
    </row>
    <row r="71" spans="1:12">
      <c r="A71" t="s">
        <v>556</v>
      </c>
      <c r="B71">
        <v>0.3</v>
      </c>
      <c r="C71">
        <v>256</v>
      </c>
      <c r="D71" t="b">
        <v>0</v>
      </c>
      <c r="E71" t="s">
        <v>548</v>
      </c>
      <c r="F71" t="s">
        <v>532</v>
      </c>
      <c r="G71" t="s">
        <v>4</v>
      </c>
      <c r="H71">
        <v>114</v>
      </c>
      <c r="I71">
        <v>0.57650000000000001</v>
      </c>
      <c r="J71">
        <v>0.82289999999999996</v>
      </c>
      <c r="K71">
        <v>1.7890999999999999</v>
      </c>
      <c r="L71">
        <v>0.55200000000000005</v>
      </c>
    </row>
    <row r="72" spans="1:12">
      <c r="A72" t="s">
        <v>556</v>
      </c>
      <c r="B72">
        <v>0.1</v>
      </c>
      <c r="C72">
        <v>128</v>
      </c>
      <c r="D72" t="b">
        <v>0</v>
      </c>
      <c r="E72" t="s">
        <v>547</v>
      </c>
      <c r="F72" t="s">
        <v>532</v>
      </c>
      <c r="G72" t="s">
        <v>0</v>
      </c>
      <c r="H72">
        <v>56</v>
      </c>
      <c r="I72">
        <v>1.0094000000000001</v>
      </c>
      <c r="J72">
        <v>0.69910000000000005</v>
      </c>
      <c r="K72">
        <v>1.6055999999999999</v>
      </c>
      <c r="L72">
        <v>0.55149999999999999</v>
      </c>
    </row>
    <row r="73" spans="1:12">
      <c r="A73" t="s">
        <v>556</v>
      </c>
      <c r="B73">
        <v>0.3</v>
      </c>
      <c r="C73">
        <v>256</v>
      </c>
      <c r="D73" t="b">
        <v>0</v>
      </c>
      <c r="E73" t="s">
        <v>547</v>
      </c>
      <c r="F73" t="s">
        <v>532</v>
      </c>
      <c r="G73" t="s">
        <v>0</v>
      </c>
      <c r="H73">
        <v>119</v>
      </c>
      <c r="I73">
        <v>1.0432999999999999</v>
      </c>
      <c r="J73">
        <v>0.68559999999999999</v>
      </c>
      <c r="K73">
        <v>1.6733</v>
      </c>
      <c r="L73">
        <v>0.55149999999999999</v>
      </c>
    </row>
    <row r="74" spans="1:12">
      <c r="A74" t="s">
        <v>556</v>
      </c>
      <c r="B74">
        <v>0.5</v>
      </c>
      <c r="C74">
        <v>256</v>
      </c>
      <c r="D74" t="b">
        <v>0</v>
      </c>
      <c r="E74" t="s">
        <v>548</v>
      </c>
      <c r="F74" t="s">
        <v>532</v>
      </c>
      <c r="G74" t="s">
        <v>3</v>
      </c>
      <c r="H74">
        <v>115</v>
      </c>
      <c r="I74">
        <v>0.83020000000000005</v>
      </c>
      <c r="J74">
        <v>0.74919999999999998</v>
      </c>
      <c r="K74">
        <v>1.704</v>
      </c>
      <c r="L74">
        <v>0.55149999999999999</v>
      </c>
    </row>
    <row r="75" spans="1:12">
      <c r="A75" t="s">
        <v>556</v>
      </c>
      <c r="B75">
        <v>0.1</v>
      </c>
      <c r="C75">
        <v>256</v>
      </c>
      <c r="D75" t="b">
        <v>0</v>
      </c>
      <c r="E75" t="s">
        <v>547</v>
      </c>
      <c r="F75" t="s">
        <v>532</v>
      </c>
      <c r="G75" t="s">
        <v>0</v>
      </c>
      <c r="H75">
        <v>129</v>
      </c>
      <c r="I75">
        <v>0.9204</v>
      </c>
      <c r="J75">
        <v>0.72640000000000005</v>
      </c>
      <c r="K75">
        <v>1.7137</v>
      </c>
      <c r="L75">
        <v>0.55149999999999999</v>
      </c>
    </row>
    <row r="76" spans="1:12">
      <c r="A76" t="s">
        <v>528</v>
      </c>
      <c r="B76">
        <v>0.3</v>
      </c>
      <c r="C76">
        <v>128</v>
      </c>
      <c r="D76" s="1" t="b">
        <v>0</v>
      </c>
      <c r="E76" t="s">
        <v>547</v>
      </c>
      <c r="F76" t="s">
        <v>532</v>
      </c>
      <c r="G76" t="s">
        <v>4</v>
      </c>
      <c r="H76" s="11">
        <v>70</v>
      </c>
      <c r="I76" s="18">
        <v>1.0637000000000001</v>
      </c>
      <c r="J76" s="18">
        <v>0.68479999999999996</v>
      </c>
      <c r="K76" s="18">
        <v>1.7354000000000001</v>
      </c>
      <c r="L76" s="18">
        <v>0.55149999999999999</v>
      </c>
    </row>
    <row r="77" spans="1:12">
      <c r="A77" t="s">
        <v>556</v>
      </c>
      <c r="B77">
        <v>0.5</v>
      </c>
      <c r="C77">
        <v>128</v>
      </c>
      <c r="D77" t="b">
        <v>0</v>
      </c>
      <c r="E77" t="s">
        <v>547</v>
      </c>
      <c r="F77" t="s">
        <v>531</v>
      </c>
      <c r="G77" t="s">
        <v>4</v>
      </c>
      <c r="H77">
        <v>61</v>
      </c>
      <c r="I77">
        <v>0.33789999999999998</v>
      </c>
      <c r="J77">
        <v>0.90290000000000004</v>
      </c>
      <c r="K77">
        <v>1.9470000000000001</v>
      </c>
      <c r="L77">
        <v>0.55149999999999999</v>
      </c>
    </row>
    <row r="78" spans="1:12">
      <c r="A78" t="s">
        <v>556</v>
      </c>
      <c r="B78">
        <v>0.3</v>
      </c>
      <c r="C78">
        <v>128</v>
      </c>
      <c r="D78" t="b">
        <v>0</v>
      </c>
      <c r="E78" t="s">
        <v>547</v>
      </c>
      <c r="F78" t="s">
        <v>532</v>
      </c>
      <c r="G78" t="s">
        <v>5</v>
      </c>
      <c r="H78">
        <v>62</v>
      </c>
      <c r="I78">
        <v>0.75249999999999995</v>
      </c>
      <c r="J78">
        <v>0.78100000000000003</v>
      </c>
      <c r="K78">
        <v>1.7115</v>
      </c>
      <c r="L78">
        <v>0.55100000000000005</v>
      </c>
    </row>
    <row r="79" spans="1:12">
      <c r="A79" t="s">
        <v>528</v>
      </c>
      <c r="B79">
        <v>0.3</v>
      </c>
      <c r="C79">
        <v>256</v>
      </c>
      <c r="D79" s="1" t="b">
        <v>0</v>
      </c>
      <c r="E79" t="s">
        <v>548</v>
      </c>
      <c r="F79" t="s">
        <v>532</v>
      </c>
      <c r="G79" t="s">
        <v>4</v>
      </c>
      <c r="H79" s="11">
        <v>145</v>
      </c>
      <c r="I79" s="18">
        <v>0.75900000000000001</v>
      </c>
      <c r="J79" s="18">
        <v>0.77410000000000001</v>
      </c>
      <c r="K79" s="18">
        <v>1.7276</v>
      </c>
      <c r="L79" s="18">
        <v>0.55100000000000005</v>
      </c>
    </row>
    <row r="80" spans="1:12">
      <c r="A80" t="s">
        <v>528</v>
      </c>
      <c r="B80">
        <v>0.3</v>
      </c>
      <c r="C80">
        <v>256</v>
      </c>
      <c r="D80" s="1" t="b">
        <v>0</v>
      </c>
      <c r="E80" t="s">
        <v>548</v>
      </c>
      <c r="F80" t="s">
        <v>532</v>
      </c>
      <c r="G80" t="s">
        <v>3</v>
      </c>
      <c r="H80" s="11">
        <v>141</v>
      </c>
      <c r="I80" s="18">
        <v>0.83320000000000005</v>
      </c>
      <c r="J80" s="18">
        <v>0.75060000000000004</v>
      </c>
      <c r="K80" s="18">
        <v>1.7496</v>
      </c>
      <c r="L80" s="18">
        <v>0.55100000000000005</v>
      </c>
    </row>
    <row r="81" spans="1:12">
      <c r="A81" t="s">
        <v>556</v>
      </c>
      <c r="B81">
        <v>0.1</v>
      </c>
      <c r="C81">
        <v>128</v>
      </c>
      <c r="D81" t="b">
        <v>0</v>
      </c>
      <c r="E81" t="s">
        <v>547</v>
      </c>
      <c r="F81" t="s">
        <v>531</v>
      </c>
      <c r="G81" t="s">
        <v>0</v>
      </c>
      <c r="H81">
        <v>62</v>
      </c>
      <c r="I81">
        <v>0.29959999999999998</v>
      </c>
      <c r="J81">
        <v>0.91459999999999997</v>
      </c>
      <c r="K81">
        <v>1.9540999999999999</v>
      </c>
      <c r="L81">
        <v>0.55100000000000005</v>
      </c>
    </row>
    <row r="82" spans="1:12">
      <c r="A82" t="s">
        <v>556</v>
      </c>
      <c r="B82">
        <v>0.5</v>
      </c>
      <c r="C82">
        <v>256</v>
      </c>
      <c r="D82" t="b">
        <v>0</v>
      </c>
      <c r="E82" t="s">
        <v>547</v>
      </c>
      <c r="F82" t="s">
        <v>531</v>
      </c>
      <c r="G82" t="s">
        <v>3</v>
      </c>
      <c r="H82">
        <v>119</v>
      </c>
      <c r="I82">
        <v>0.31319999999999998</v>
      </c>
      <c r="J82">
        <v>0.90900000000000003</v>
      </c>
      <c r="K82">
        <v>1.9819</v>
      </c>
      <c r="L82">
        <v>0.55100000000000005</v>
      </c>
    </row>
    <row r="83" spans="1:12">
      <c r="A83" t="s">
        <v>528</v>
      </c>
      <c r="B83">
        <v>0.3</v>
      </c>
      <c r="C83">
        <v>256</v>
      </c>
      <c r="D83" s="1" t="b">
        <v>0</v>
      </c>
      <c r="E83" t="s">
        <v>547</v>
      </c>
      <c r="F83" t="s">
        <v>532</v>
      </c>
      <c r="G83" t="s">
        <v>3</v>
      </c>
      <c r="H83" s="11">
        <v>150</v>
      </c>
      <c r="I83" s="18">
        <v>1.1345000000000001</v>
      </c>
      <c r="J83" s="18">
        <v>0.6623</v>
      </c>
      <c r="K83" s="18">
        <v>1.6973</v>
      </c>
      <c r="L83" s="18">
        <v>0.55049999999999999</v>
      </c>
    </row>
    <row r="84" spans="1:12">
      <c r="A84" t="s">
        <v>528</v>
      </c>
      <c r="B84">
        <v>0.5</v>
      </c>
      <c r="C84">
        <v>128</v>
      </c>
      <c r="D84" s="1" t="b">
        <v>1</v>
      </c>
      <c r="E84" t="s">
        <v>548</v>
      </c>
      <c r="F84" t="s">
        <v>532</v>
      </c>
      <c r="G84" t="s">
        <v>5</v>
      </c>
      <c r="H84" s="11">
        <v>141</v>
      </c>
      <c r="I84" s="18">
        <v>0.93120000000000003</v>
      </c>
      <c r="J84" s="18">
        <v>0.7248</v>
      </c>
      <c r="K84" s="18">
        <v>1.7193000000000001</v>
      </c>
      <c r="L84" s="18">
        <v>0.55049999999999999</v>
      </c>
    </row>
    <row r="85" spans="1:12">
      <c r="A85" t="s">
        <v>556</v>
      </c>
      <c r="B85">
        <v>0.5</v>
      </c>
      <c r="C85">
        <v>256</v>
      </c>
      <c r="D85" t="b">
        <v>0</v>
      </c>
      <c r="E85" t="s">
        <v>547</v>
      </c>
      <c r="F85" t="s">
        <v>532</v>
      </c>
      <c r="G85" t="s">
        <v>0</v>
      </c>
      <c r="H85">
        <v>120</v>
      </c>
      <c r="I85">
        <v>1.1919</v>
      </c>
      <c r="J85">
        <v>0.64219999999999999</v>
      </c>
      <c r="K85">
        <v>1.6545000000000001</v>
      </c>
      <c r="L85">
        <v>0.55000000000000004</v>
      </c>
    </row>
    <row r="86" spans="1:12">
      <c r="A86" t="s">
        <v>556</v>
      </c>
      <c r="B86">
        <v>0.5</v>
      </c>
      <c r="C86">
        <v>256</v>
      </c>
      <c r="D86" t="b">
        <v>0</v>
      </c>
      <c r="E86" t="s">
        <v>548</v>
      </c>
      <c r="F86" t="s">
        <v>532</v>
      </c>
      <c r="G86" t="s">
        <v>0</v>
      </c>
      <c r="H86">
        <v>116</v>
      </c>
      <c r="I86">
        <v>1.0350999999999999</v>
      </c>
      <c r="J86">
        <v>0.68789999999999996</v>
      </c>
      <c r="K86">
        <v>1.6573</v>
      </c>
      <c r="L86">
        <v>0.55000000000000004</v>
      </c>
    </row>
    <row r="87" spans="1:12">
      <c r="A87" t="s">
        <v>528</v>
      </c>
      <c r="B87">
        <v>0.5</v>
      </c>
      <c r="C87">
        <v>128</v>
      </c>
      <c r="D87" s="1" t="b">
        <v>0</v>
      </c>
      <c r="E87" t="s">
        <v>548</v>
      </c>
      <c r="F87" t="s">
        <v>532</v>
      </c>
      <c r="G87" t="s">
        <v>1</v>
      </c>
      <c r="H87" s="11">
        <v>74</v>
      </c>
      <c r="I87" s="18">
        <v>1.0992999999999999</v>
      </c>
      <c r="J87" s="18">
        <v>0.67569999999999997</v>
      </c>
      <c r="K87" s="18">
        <v>1.7084999999999999</v>
      </c>
      <c r="L87" s="18">
        <v>0.55000000000000004</v>
      </c>
    </row>
    <row r="88" spans="1:12">
      <c r="A88" t="s">
        <v>556</v>
      </c>
      <c r="B88">
        <v>0.5</v>
      </c>
      <c r="C88">
        <v>128</v>
      </c>
      <c r="D88" t="b">
        <v>0</v>
      </c>
      <c r="E88" t="s">
        <v>548</v>
      </c>
      <c r="F88" t="s">
        <v>532</v>
      </c>
      <c r="G88" t="s">
        <v>3</v>
      </c>
      <c r="H88">
        <v>58</v>
      </c>
      <c r="I88">
        <v>0.83930000000000005</v>
      </c>
      <c r="J88">
        <v>0.74939999999999996</v>
      </c>
      <c r="K88">
        <v>1.7178</v>
      </c>
      <c r="L88">
        <v>0.54949999999999999</v>
      </c>
    </row>
    <row r="89" spans="1:12">
      <c r="A89" t="s">
        <v>528</v>
      </c>
      <c r="B89">
        <v>0.5</v>
      </c>
      <c r="C89">
        <v>256</v>
      </c>
      <c r="D89" s="1" t="b">
        <v>1</v>
      </c>
      <c r="E89" t="s">
        <v>548</v>
      </c>
      <c r="F89" t="s">
        <v>532</v>
      </c>
      <c r="G89" t="s">
        <v>4</v>
      </c>
      <c r="H89" s="11">
        <v>285</v>
      </c>
      <c r="I89" s="18">
        <v>0.93169999999999997</v>
      </c>
      <c r="J89" s="18">
        <v>0.72250000000000003</v>
      </c>
      <c r="K89" s="18">
        <v>1.7253000000000001</v>
      </c>
      <c r="L89" s="18">
        <v>0.54949999999999999</v>
      </c>
    </row>
    <row r="90" spans="1:12">
      <c r="A90" t="s">
        <v>556</v>
      </c>
      <c r="B90">
        <v>0.1</v>
      </c>
      <c r="C90">
        <v>256</v>
      </c>
      <c r="D90" t="b">
        <v>0</v>
      </c>
      <c r="E90" t="s">
        <v>547</v>
      </c>
      <c r="F90" t="s">
        <v>532</v>
      </c>
      <c r="G90" t="s">
        <v>3</v>
      </c>
      <c r="H90">
        <v>127</v>
      </c>
      <c r="I90">
        <v>0.68810000000000004</v>
      </c>
      <c r="J90">
        <v>0.79600000000000004</v>
      </c>
      <c r="K90">
        <v>1.7422</v>
      </c>
      <c r="L90">
        <v>0.54949999999999999</v>
      </c>
    </row>
    <row r="91" spans="1:12">
      <c r="A91" t="s">
        <v>528</v>
      </c>
      <c r="B91">
        <v>0.3</v>
      </c>
      <c r="C91">
        <v>256</v>
      </c>
      <c r="D91" s="1" t="b">
        <v>0</v>
      </c>
      <c r="E91" t="s">
        <v>547</v>
      </c>
      <c r="F91" t="s">
        <v>532</v>
      </c>
      <c r="G91" t="s">
        <v>5</v>
      </c>
      <c r="H91" s="11">
        <v>150</v>
      </c>
      <c r="I91" s="18">
        <v>1.0142</v>
      </c>
      <c r="J91" s="18">
        <v>0.69699999999999995</v>
      </c>
      <c r="K91" s="18">
        <v>1.7495000000000001</v>
      </c>
      <c r="L91" s="18">
        <v>0.54949999999999999</v>
      </c>
    </row>
    <row r="92" spans="1:12">
      <c r="A92" t="s">
        <v>528</v>
      </c>
      <c r="B92">
        <v>0.1</v>
      </c>
      <c r="C92">
        <v>256</v>
      </c>
      <c r="D92" s="1" t="b">
        <v>0</v>
      </c>
      <c r="E92" t="s">
        <v>548</v>
      </c>
      <c r="F92" t="s">
        <v>532</v>
      </c>
      <c r="G92" t="s">
        <v>4</v>
      </c>
      <c r="H92" s="11">
        <v>141</v>
      </c>
      <c r="I92" s="18">
        <v>0.71250000000000002</v>
      </c>
      <c r="J92" s="18">
        <v>0.79059999999999997</v>
      </c>
      <c r="K92" s="18">
        <v>1.7587999999999999</v>
      </c>
      <c r="L92" s="18">
        <v>0.54949999999999999</v>
      </c>
    </row>
    <row r="93" spans="1:12">
      <c r="A93" t="s">
        <v>528</v>
      </c>
      <c r="B93">
        <v>0.1</v>
      </c>
      <c r="C93">
        <v>64</v>
      </c>
      <c r="D93" s="1" t="b">
        <v>0</v>
      </c>
      <c r="E93" t="s">
        <v>548</v>
      </c>
      <c r="F93" t="s">
        <v>532</v>
      </c>
      <c r="G93" t="s">
        <v>1</v>
      </c>
      <c r="H93" s="11">
        <v>47</v>
      </c>
      <c r="I93" s="18">
        <v>0.8589</v>
      </c>
      <c r="J93" s="18">
        <v>0.753</v>
      </c>
      <c r="K93" s="18">
        <v>1.7806999999999999</v>
      </c>
      <c r="L93" s="18">
        <v>0.54949999999999999</v>
      </c>
    </row>
    <row r="94" spans="1:12">
      <c r="A94" t="s">
        <v>556</v>
      </c>
      <c r="B94">
        <v>0.5</v>
      </c>
      <c r="C94">
        <v>256</v>
      </c>
      <c r="D94" t="b">
        <v>0</v>
      </c>
      <c r="E94" t="s">
        <v>548</v>
      </c>
      <c r="F94" t="s">
        <v>531</v>
      </c>
      <c r="G94" t="s">
        <v>2</v>
      </c>
      <c r="H94">
        <v>117</v>
      </c>
      <c r="I94">
        <v>0.30769999999999997</v>
      </c>
      <c r="J94">
        <v>0.90710000000000002</v>
      </c>
      <c r="K94">
        <v>1.8931</v>
      </c>
      <c r="L94">
        <v>0.54949999999999999</v>
      </c>
    </row>
    <row r="95" spans="1:12">
      <c r="A95" t="s">
        <v>556</v>
      </c>
      <c r="B95">
        <v>0.5</v>
      </c>
      <c r="C95">
        <v>256</v>
      </c>
      <c r="D95" t="b">
        <v>0</v>
      </c>
      <c r="E95" t="s">
        <v>547</v>
      </c>
      <c r="F95" t="s">
        <v>532</v>
      </c>
      <c r="G95" t="s">
        <v>1</v>
      </c>
      <c r="H95">
        <v>120</v>
      </c>
      <c r="I95">
        <v>1.1079000000000001</v>
      </c>
      <c r="J95">
        <v>0.66959999999999997</v>
      </c>
      <c r="K95">
        <v>1.6716</v>
      </c>
      <c r="L95">
        <v>0.54900000000000004</v>
      </c>
    </row>
    <row r="96" spans="1:12">
      <c r="A96" t="s">
        <v>556</v>
      </c>
      <c r="B96">
        <v>0.5</v>
      </c>
      <c r="C96">
        <v>128</v>
      </c>
      <c r="D96" t="b">
        <v>0</v>
      </c>
      <c r="E96" t="s">
        <v>547</v>
      </c>
      <c r="F96" t="s">
        <v>532</v>
      </c>
      <c r="G96" t="s">
        <v>4</v>
      </c>
      <c r="H96">
        <v>61</v>
      </c>
      <c r="I96">
        <v>1.0021</v>
      </c>
      <c r="J96">
        <v>0.70689999999999997</v>
      </c>
      <c r="K96">
        <v>1.6754</v>
      </c>
      <c r="L96">
        <v>0.54900000000000004</v>
      </c>
    </row>
    <row r="97" spans="1:12">
      <c r="A97" t="s">
        <v>528</v>
      </c>
      <c r="B97">
        <v>0.5</v>
      </c>
      <c r="C97">
        <v>128</v>
      </c>
      <c r="D97" s="1" t="b">
        <v>0</v>
      </c>
      <c r="E97" t="s">
        <v>548</v>
      </c>
      <c r="F97" t="s">
        <v>532</v>
      </c>
      <c r="G97" t="s">
        <v>5</v>
      </c>
      <c r="H97" s="11">
        <v>74</v>
      </c>
      <c r="I97" s="18">
        <v>0.84350000000000003</v>
      </c>
      <c r="J97" s="18">
        <v>0.75039999999999996</v>
      </c>
      <c r="K97" s="18">
        <v>1.6895</v>
      </c>
      <c r="L97" s="18">
        <v>0.54900000000000004</v>
      </c>
    </row>
    <row r="98" spans="1:12">
      <c r="A98" t="s">
        <v>556</v>
      </c>
      <c r="B98">
        <v>0.1</v>
      </c>
      <c r="C98">
        <v>256</v>
      </c>
      <c r="D98" t="b">
        <v>0</v>
      </c>
      <c r="E98" t="s">
        <v>547</v>
      </c>
      <c r="F98" t="s">
        <v>532</v>
      </c>
      <c r="G98" t="s">
        <v>1</v>
      </c>
      <c r="H98">
        <v>165</v>
      </c>
      <c r="I98">
        <v>0.8286</v>
      </c>
      <c r="J98">
        <v>0.75260000000000005</v>
      </c>
      <c r="K98">
        <v>1.6798</v>
      </c>
      <c r="L98">
        <v>0.54849999999999999</v>
      </c>
    </row>
    <row r="99" spans="1:12">
      <c r="A99" t="s">
        <v>556</v>
      </c>
      <c r="B99">
        <v>0.3</v>
      </c>
      <c r="C99">
        <v>64</v>
      </c>
      <c r="D99" t="b">
        <v>0</v>
      </c>
      <c r="E99" t="s">
        <v>547</v>
      </c>
      <c r="F99" t="s">
        <v>532</v>
      </c>
      <c r="G99" t="s">
        <v>1</v>
      </c>
      <c r="H99">
        <v>33</v>
      </c>
      <c r="I99">
        <v>1.1728000000000001</v>
      </c>
      <c r="J99">
        <v>0.65049999999999997</v>
      </c>
      <c r="K99">
        <v>1.6947000000000001</v>
      </c>
      <c r="L99">
        <v>0.54849999999999999</v>
      </c>
    </row>
    <row r="100" spans="1:12">
      <c r="A100" t="s">
        <v>556</v>
      </c>
      <c r="B100">
        <v>0.5</v>
      </c>
      <c r="C100">
        <v>64</v>
      </c>
      <c r="D100" t="b">
        <v>0</v>
      </c>
      <c r="E100" t="s">
        <v>548</v>
      </c>
      <c r="F100" t="s">
        <v>532</v>
      </c>
      <c r="G100" t="s">
        <v>3</v>
      </c>
      <c r="H100">
        <v>36</v>
      </c>
      <c r="I100">
        <v>0.95050000000000001</v>
      </c>
      <c r="J100">
        <v>0.71919999999999995</v>
      </c>
      <c r="K100">
        <v>1.7415</v>
      </c>
      <c r="L100">
        <v>0.54800000000000004</v>
      </c>
    </row>
    <row r="101" spans="1:12">
      <c r="A101" t="s">
        <v>528</v>
      </c>
      <c r="B101">
        <v>0.3</v>
      </c>
      <c r="C101">
        <v>64</v>
      </c>
      <c r="D101" s="1" t="b">
        <v>0</v>
      </c>
      <c r="E101" t="s">
        <v>548</v>
      </c>
      <c r="F101" t="s">
        <v>532</v>
      </c>
      <c r="G101" t="s">
        <v>1</v>
      </c>
      <c r="H101" s="11">
        <v>41</v>
      </c>
      <c r="I101" s="18">
        <v>0.97819999999999996</v>
      </c>
      <c r="J101" s="18">
        <v>0.71650000000000003</v>
      </c>
      <c r="K101" s="18">
        <v>1.7496</v>
      </c>
      <c r="L101" s="18">
        <v>0.54800000000000004</v>
      </c>
    </row>
    <row r="102" spans="1:12">
      <c r="A102" t="s">
        <v>528</v>
      </c>
      <c r="B102">
        <v>0.1</v>
      </c>
      <c r="C102">
        <v>64</v>
      </c>
      <c r="D102" s="1" t="b">
        <v>0</v>
      </c>
      <c r="E102" t="s">
        <v>547</v>
      </c>
      <c r="F102" t="s">
        <v>532</v>
      </c>
      <c r="G102" t="s">
        <v>4</v>
      </c>
      <c r="H102" s="11">
        <v>41</v>
      </c>
      <c r="I102" s="18">
        <v>1.0101</v>
      </c>
      <c r="J102" s="18">
        <v>0.70960000000000001</v>
      </c>
      <c r="K102" s="18">
        <v>1.7683</v>
      </c>
      <c r="L102" s="18">
        <v>0.54800000000000004</v>
      </c>
    </row>
    <row r="103" spans="1:12">
      <c r="A103" t="s">
        <v>528</v>
      </c>
      <c r="B103">
        <v>0.1</v>
      </c>
      <c r="C103">
        <v>128</v>
      </c>
      <c r="D103" s="1" t="b">
        <v>0</v>
      </c>
      <c r="E103" t="s">
        <v>548</v>
      </c>
      <c r="F103" t="s">
        <v>532</v>
      </c>
      <c r="G103" t="s">
        <v>4</v>
      </c>
      <c r="H103" s="11">
        <v>81</v>
      </c>
      <c r="I103" s="18">
        <v>0.63580000000000003</v>
      </c>
      <c r="J103" s="18">
        <v>0.81640000000000001</v>
      </c>
      <c r="K103" s="18">
        <v>1.8126</v>
      </c>
      <c r="L103" s="18">
        <v>0.54800000000000004</v>
      </c>
    </row>
    <row r="104" spans="1:12">
      <c r="A104" t="s">
        <v>556</v>
      </c>
      <c r="B104">
        <v>0.1</v>
      </c>
      <c r="C104">
        <v>256</v>
      </c>
      <c r="D104" t="b">
        <v>0</v>
      </c>
      <c r="E104" t="s">
        <v>547</v>
      </c>
      <c r="F104" t="s">
        <v>532</v>
      </c>
      <c r="G104" t="s">
        <v>5</v>
      </c>
      <c r="H104">
        <v>122</v>
      </c>
      <c r="I104">
        <v>0.57799999999999996</v>
      </c>
      <c r="J104">
        <v>0.82909999999999995</v>
      </c>
      <c r="K104">
        <v>1.8250999999999999</v>
      </c>
      <c r="L104">
        <v>0.54800000000000004</v>
      </c>
    </row>
    <row r="105" spans="1:12">
      <c r="A105" t="s">
        <v>528</v>
      </c>
      <c r="B105">
        <v>0.1</v>
      </c>
      <c r="C105">
        <v>256</v>
      </c>
      <c r="D105" s="1" t="b">
        <v>1</v>
      </c>
      <c r="E105" t="s">
        <v>548</v>
      </c>
      <c r="F105" t="s">
        <v>532</v>
      </c>
      <c r="G105" t="s">
        <v>0</v>
      </c>
      <c r="H105" s="11">
        <v>282</v>
      </c>
      <c r="I105" s="18">
        <v>0.84950000000000003</v>
      </c>
      <c r="J105" s="18">
        <v>0.74399999999999999</v>
      </c>
      <c r="K105" s="18">
        <v>1.663</v>
      </c>
      <c r="L105" s="18">
        <v>0.54749999999999999</v>
      </c>
    </row>
    <row r="106" spans="1:12">
      <c r="A106" t="s">
        <v>528</v>
      </c>
      <c r="B106">
        <v>0.3</v>
      </c>
      <c r="C106">
        <v>128</v>
      </c>
      <c r="D106" s="1" t="b">
        <v>0</v>
      </c>
      <c r="E106" t="s">
        <v>547</v>
      </c>
      <c r="F106" t="s">
        <v>532</v>
      </c>
      <c r="G106" t="s">
        <v>3</v>
      </c>
      <c r="H106" s="11">
        <v>70</v>
      </c>
      <c r="I106" s="18">
        <v>1.1355</v>
      </c>
      <c r="J106" s="18">
        <v>0.66659999999999997</v>
      </c>
      <c r="K106" s="18">
        <v>1.6813</v>
      </c>
      <c r="L106" s="18">
        <v>0.54749999999999999</v>
      </c>
    </row>
    <row r="107" spans="1:12">
      <c r="A107" t="s">
        <v>556</v>
      </c>
      <c r="B107">
        <v>0.1</v>
      </c>
      <c r="C107">
        <v>128</v>
      </c>
      <c r="D107" t="b">
        <v>0</v>
      </c>
      <c r="E107" t="s">
        <v>547</v>
      </c>
      <c r="F107" t="s">
        <v>532</v>
      </c>
      <c r="G107" t="s">
        <v>4</v>
      </c>
      <c r="H107">
        <v>56</v>
      </c>
      <c r="I107">
        <v>0.72</v>
      </c>
      <c r="J107">
        <v>0.79100000000000004</v>
      </c>
      <c r="K107">
        <v>1.7188000000000001</v>
      </c>
      <c r="L107">
        <v>0.54749999999999999</v>
      </c>
    </row>
    <row r="108" spans="1:12">
      <c r="A108" t="s">
        <v>556</v>
      </c>
      <c r="B108">
        <v>0.3</v>
      </c>
      <c r="C108">
        <v>128</v>
      </c>
      <c r="D108" t="b">
        <v>0</v>
      </c>
      <c r="E108" t="s">
        <v>548</v>
      </c>
      <c r="F108" t="s">
        <v>532</v>
      </c>
      <c r="G108" t="s">
        <v>1</v>
      </c>
      <c r="H108">
        <v>58</v>
      </c>
      <c r="I108">
        <v>0.79490000000000005</v>
      </c>
      <c r="J108">
        <v>0.76439999999999997</v>
      </c>
      <c r="K108">
        <v>1.7451000000000001</v>
      </c>
      <c r="L108">
        <v>0.54749999999999999</v>
      </c>
    </row>
    <row r="109" spans="1:12">
      <c r="A109" t="s">
        <v>556</v>
      </c>
      <c r="B109">
        <v>0.1</v>
      </c>
      <c r="C109">
        <v>256</v>
      </c>
      <c r="D109" t="b">
        <v>0</v>
      </c>
      <c r="E109" t="s">
        <v>548</v>
      </c>
      <c r="F109" t="s">
        <v>532</v>
      </c>
      <c r="G109" t="s">
        <v>5</v>
      </c>
      <c r="H109">
        <v>117</v>
      </c>
      <c r="I109">
        <v>0.43869999999999998</v>
      </c>
      <c r="J109">
        <v>0.87170000000000003</v>
      </c>
      <c r="K109">
        <v>1.8755999999999999</v>
      </c>
      <c r="L109">
        <v>0.54749999999999999</v>
      </c>
    </row>
    <row r="110" spans="1:12">
      <c r="A110" t="s">
        <v>528</v>
      </c>
      <c r="B110">
        <v>0.5</v>
      </c>
      <c r="C110">
        <v>256</v>
      </c>
      <c r="D110" s="1" t="b">
        <v>0</v>
      </c>
      <c r="E110" t="s">
        <v>548</v>
      </c>
      <c r="F110" t="s">
        <v>531</v>
      </c>
      <c r="G110" t="s">
        <v>2</v>
      </c>
      <c r="H110" s="11">
        <v>167</v>
      </c>
      <c r="I110" s="18">
        <v>0.4446</v>
      </c>
      <c r="J110" s="18">
        <v>0.87139999999999995</v>
      </c>
      <c r="K110" s="18">
        <v>1.9645999999999999</v>
      </c>
      <c r="L110" s="18">
        <v>0.54749999999999999</v>
      </c>
    </row>
    <row r="111" spans="1:12">
      <c r="A111" t="s">
        <v>528</v>
      </c>
      <c r="B111">
        <v>0.5</v>
      </c>
      <c r="C111">
        <v>64</v>
      </c>
      <c r="D111" s="1" t="b">
        <v>0</v>
      </c>
      <c r="E111" t="s">
        <v>548</v>
      </c>
      <c r="F111" t="s">
        <v>532</v>
      </c>
      <c r="G111" t="s">
        <v>4</v>
      </c>
      <c r="H111" s="11">
        <v>49</v>
      </c>
      <c r="I111" s="18">
        <v>0.94140000000000001</v>
      </c>
      <c r="J111" s="18">
        <v>0.7208</v>
      </c>
      <c r="K111" s="18">
        <v>1.7186999999999999</v>
      </c>
      <c r="L111" s="18">
        <v>0.54700000000000004</v>
      </c>
    </row>
    <row r="112" spans="1:12">
      <c r="A112" t="s">
        <v>528</v>
      </c>
      <c r="B112">
        <v>0.1</v>
      </c>
      <c r="C112">
        <v>64</v>
      </c>
      <c r="D112" s="1" t="b">
        <v>0</v>
      </c>
      <c r="E112" t="s">
        <v>547</v>
      </c>
      <c r="F112" t="s">
        <v>532</v>
      </c>
      <c r="G112" t="s">
        <v>5</v>
      </c>
      <c r="H112" s="11">
        <v>41</v>
      </c>
      <c r="I112" s="18">
        <v>0.9345</v>
      </c>
      <c r="J112" s="18">
        <v>0.72770000000000001</v>
      </c>
      <c r="K112" s="18">
        <v>1.7784</v>
      </c>
      <c r="L112" s="18">
        <v>0.54700000000000004</v>
      </c>
    </row>
    <row r="113" spans="1:12">
      <c r="A113" t="s">
        <v>556</v>
      </c>
      <c r="B113">
        <v>0.5</v>
      </c>
      <c r="C113">
        <v>256</v>
      </c>
      <c r="D113" t="b">
        <v>0</v>
      </c>
      <c r="E113" t="s">
        <v>548</v>
      </c>
      <c r="F113" t="s">
        <v>531</v>
      </c>
      <c r="G113" t="s">
        <v>0</v>
      </c>
      <c r="H113">
        <v>116</v>
      </c>
      <c r="I113">
        <v>0.39350000000000002</v>
      </c>
      <c r="J113">
        <v>0.88339999999999996</v>
      </c>
      <c r="K113">
        <v>1.8731</v>
      </c>
      <c r="L113">
        <v>0.54700000000000004</v>
      </c>
    </row>
    <row r="114" spans="1:12">
      <c r="A114" t="s">
        <v>556</v>
      </c>
      <c r="B114">
        <v>0.3</v>
      </c>
      <c r="C114">
        <v>256</v>
      </c>
      <c r="D114" t="b">
        <v>0</v>
      </c>
      <c r="E114" t="s">
        <v>547</v>
      </c>
      <c r="F114" t="s">
        <v>531</v>
      </c>
      <c r="G114" t="s">
        <v>1</v>
      </c>
      <c r="H114">
        <v>120</v>
      </c>
      <c r="I114">
        <v>0.28079999999999999</v>
      </c>
      <c r="J114">
        <v>0.91649999999999998</v>
      </c>
      <c r="K114">
        <v>1.9462999999999999</v>
      </c>
      <c r="L114">
        <v>0.54700000000000004</v>
      </c>
    </row>
    <row r="115" spans="1:12">
      <c r="A115" t="s">
        <v>528</v>
      </c>
      <c r="B115">
        <v>0.3</v>
      </c>
      <c r="C115">
        <v>256</v>
      </c>
      <c r="D115" s="1" t="b">
        <v>0</v>
      </c>
      <c r="E115" t="s">
        <v>547</v>
      </c>
      <c r="F115" t="s">
        <v>531</v>
      </c>
      <c r="G115" t="s">
        <v>2</v>
      </c>
      <c r="H115" s="11">
        <v>159</v>
      </c>
      <c r="I115" s="18">
        <v>0.34329999999999999</v>
      </c>
      <c r="J115" s="18">
        <v>0.90010000000000001</v>
      </c>
      <c r="K115" s="18">
        <v>2.0301</v>
      </c>
      <c r="L115" s="18">
        <v>0.54700000000000004</v>
      </c>
    </row>
    <row r="116" spans="1:12">
      <c r="A116" t="s">
        <v>556</v>
      </c>
      <c r="B116">
        <v>0.5</v>
      </c>
      <c r="C116">
        <v>256</v>
      </c>
      <c r="D116" t="b">
        <v>0</v>
      </c>
      <c r="E116" t="s">
        <v>548</v>
      </c>
      <c r="F116" t="s">
        <v>531</v>
      </c>
      <c r="G116" t="s">
        <v>4</v>
      </c>
      <c r="H116">
        <v>117</v>
      </c>
      <c r="I116">
        <v>0.24610000000000001</v>
      </c>
      <c r="J116">
        <v>0.92889999999999995</v>
      </c>
      <c r="K116">
        <v>2.0402</v>
      </c>
      <c r="L116">
        <v>0.54700000000000004</v>
      </c>
    </row>
    <row r="117" spans="1:12">
      <c r="A117" t="s">
        <v>528</v>
      </c>
      <c r="B117">
        <v>0.3</v>
      </c>
      <c r="C117">
        <v>128</v>
      </c>
      <c r="D117" s="1" t="b">
        <v>0</v>
      </c>
      <c r="E117" t="s">
        <v>548</v>
      </c>
      <c r="F117" t="s">
        <v>532</v>
      </c>
      <c r="G117" t="s">
        <v>3</v>
      </c>
      <c r="H117" s="11">
        <v>73</v>
      </c>
      <c r="I117" s="18">
        <v>0.80010000000000003</v>
      </c>
      <c r="J117" s="18">
        <v>0.76739999999999997</v>
      </c>
      <c r="K117" s="18">
        <v>1.6688000000000001</v>
      </c>
      <c r="L117" s="18">
        <v>0.54649999999999999</v>
      </c>
    </row>
    <row r="118" spans="1:12">
      <c r="A118" t="s">
        <v>556</v>
      </c>
      <c r="B118">
        <v>0.5</v>
      </c>
      <c r="C118">
        <v>64</v>
      </c>
      <c r="D118" t="b">
        <v>0</v>
      </c>
      <c r="E118" t="s">
        <v>547</v>
      </c>
      <c r="F118" t="s">
        <v>532</v>
      </c>
      <c r="G118" t="s">
        <v>3</v>
      </c>
      <c r="H118">
        <v>39</v>
      </c>
      <c r="I118">
        <v>1.1850000000000001</v>
      </c>
      <c r="J118">
        <v>0.64449999999999996</v>
      </c>
      <c r="K118">
        <v>1.6915</v>
      </c>
      <c r="L118">
        <v>0.54649999999999999</v>
      </c>
    </row>
    <row r="119" spans="1:12">
      <c r="A119" t="s">
        <v>528</v>
      </c>
      <c r="B119">
        <v>0.5</v>
      </c>
      <c r="C119">
        <v>128</v>
      </c>
      <c r="D119" s="1" t="b">
        <v>0</v>
      </c>
      <c r="E119" t="s">
        <v>547</v>
      </c>
      <c r="F119" t="s">
        <v>532</v>
      </c>
      <c r="G119" t="s">
        <v>3</v>
      </c>
      <c r="H119" s="11">
        <v>76</v>
      </c>
      <c r="I119" s="18">
        <v>1.2531000000000001</v>
      </c>
      <c r="J119" s="18">
        <v>0.62260000000000004</v>
      </c>
      <c r="K119" s="18">
        <v>1.7078</v>
      </c>
      <c r="L119" s="18">
        <v>0.54649999999999999</v>
      </c>
    </row>
    <row r="120" spans="1:12">
      <c r="A120" t="s">
        <v>556</v>
      </c>
      <c r="B120">
        <v>0.5</v>
      </c>
      <c r="C120">
        <v>64</v>
      </c>
      <c r="D120" t="b">
        <v>0</v>
      </c>
      <c r="E120" t="s">
        <v>548</v>
      </c>
      <c r="F120" t="s">
        <v>532</v>
      </c>
      <c r="G120" t="s">
        <v>2</v>
      </c>
      <c r="H120">
        <v>36</v>
      </c>
      <c r="I120">
        <v>1.0039</v>
      </c>
      <c r="J120">
        <v>0.69850000000000001</v>
      </c>
      <c r="K120">
        <v>1.7250000000000001</v>
      </c>
      <c r="L120">
        <v>0.54649999999999999</v>
      </c>
    </row>
    <row r="121" spans="1:12">
      <c r="A121" t="s">
        <v>528</v>
      </c>
      <c r="B121">
        <v>0.3</v>
      </c>
      <c r="C121">
        <v>128</v>
      </c>
      <c r="D121" s="1" t="b">
        <v>1</v>
      </c>
      <c r="E121" t="s">
        <v>547</v>
      </c>
      <c r="F121" t="s">
        <v>532</v>
      </c>
      <c r="G121" t="s">
        <v>4</v>
      </c>
      <c r="H121" s="11">
        <v>142</v>
      </c>
      <c r="I121" s="18">
        <v>0.98580000000000001</v>
      </c>
      <c r="J121" s="18">
        <v>0.71</v>
      </c>
      <c r="K121" s="18">
        <v>1.7369000000000001</v>
      </c>
      <c r="L121" s="18">
        <v>0.54649999999999999</v>
      </c>
    </row>
    <row r="122" spans="1:12">
      <c r="A122" t="s">
        <v>528</v>
      </c>
      <c r="B122">
        <v>0.5</v>
      </c>
      <c r="C122">
        <v>128</v>
      </c>
      <c r="D122" s="1" t="b">
        <v>1</v>
      </c>
      <c r="E122" t="s">
        <v>548</v>
      </c>
      <c r="F122" t="s">
        <v>532</v>
      </c>
      <c r="G122" t="s">
        <v>4</v>
      </c>
      <c r="H122" s="11">
        <v>141</v>
      </c>
      <c r="I122" s="18">
        <v>0.95</v>
      </c>
      <c r="J122" s="18">
        <v>0.71489999999999998</v>
      </c>
      <c r="K122" s="18">
        <v>1.7553000000000001</v>
      </c>
      <c r="L122" s="18">
        <v>0.54649999999999999</v>
      </c>
    </row>
    <row r="123" spans="1:12">
      <c r="A123" t="s">
        <v>556</v>
      </c>
      <c r="B123">
        <v>0.5</v>
      </c>
      <c r="C123">
        <v>64</v>
      </c>
      <c r="D123" t="b">
        <v>0</v>
      </c>
      <c r="E123" t="s">
        <v>548</v>
      </c>
      <c r="F123" t="s">
        <v>532</v>
      </c>
      <c r="G123" t="s">
        <v>5</v>
      </c>
      <c r="H123">
        <v>36</v>
      </c>
      <c r="I123">
        <v>0.84279999999999999</v>
      </c>
      <c r="J123">
        <v>0.75209999999999999</v>
      </c>
      <c r="K123">
        <v>1.7807999999999999</v>
      </c>
      <c r="L123">
        <v>0.54649999999999999</v>
      </c>
    </row>
    <row r="124" spans="1:12">
      <c r="A124" t="s">
        <v>556</v>
      </c>
      <c r="B124">
        <v>0.3</v>
      </c>
      <c r="C124">
        <v>128</v>
      </c>
      <c r="D124" t="b">
        <v>0</v>
      </c>
      <c r="E124" t="s">
        <v>548</v>
      </c>
      <c r="F124" t="s">
        <v>532</v>
      </c>
      <c r="G124" t="s">
        <v>4</v>
      </c>
      <c r="H124">
        <v>58</v>
      </c>
      <c r="I124">
        <v>0.60550000000000004</v>
      </c>
      <c r="J124">
        <v>0.8165</v>
      </c>
      <c r="K124">
        <v>1.8372999999999999</v>
      </c>
      <c r="L124">
        <v>0.54649999999999999</v>
      </c>
    </row>
    <row r="125" spans="1:12">
      <c r="A125" t="s">
        <v>556</v>
      </c>
      <c r="B125">
        <v>0.5</v>
      </c>
      <c r="C125">
        <v>256</v>
      </c>
      <c r="D125" t="b">
        <v>0</v>
      </c>
      <c r="E125" t="s">
        <v>547</v>
      </c>
      <c r="F125" t="s">
        <v>531</v>
      </c>
      <c r="G125" t="s">
        <v>1</v>
      </c>
      <c r="H125">
        <v>119</v>
      </c>
      <c r="I125">
        <v>0.40279999999999999</v>
      </c>
      <c r="J125">
        <v>0.88080000000000003</v>
      </c>
      <c r="K125">
        <v>1.8489</v>
      </c>
      <c r="L125">
        <v>0.54649999999999999</v>
      </c>
    </row>
    <row r="126" spans="1:12">
      <c r="A126" t="s">
        <v>556</v>
      </c>
      <c r="B126">
        <v>0.5</v>
      </c>
      <c r="C126">
        <v>128</v>
      </c>
      <c r="D126" t="b">
        <v>0</v>
      </c>
      <c r="E126" t="s">
        <v>547</v>
      </c>
      <c r="F126" t="s">
        <v>531</v>
      </c>
      <c r="G126" t="s">
        <v>2</v>
      </c>
      <c r="H126">
        <v>61</v>
      </c>
      <c r="I126">
        <v>0.41399999999999998</v>
      </c>
      <c r="J126">
        <v>0.87549999999999994</v>
      </c>
      <c r="K126">
        <v>1.8562000000000001</v>
      </c>
      <c r="L126">
        <v>0.54649999999999999</v>
      </c>
    </row>
    <row r="127" spans="1:12">
      <c r="A127" t="s">
        <v>556</v>
      </c>
      <c r="B127">
        <v>0.5</v>
      </c>
      <c r="C127">
        <v>64</v>
      </c>
      <c r="D127" t="b">
        <v>0</v>
      </c>
      <c r="E127" t="s">
        <v>547</v>
      </c>
      <c r="F127" t="s">
        <v>531</v>
      </c>
      <c r="G127" t="s">
        <v>4</v>
      </c>
      <c r="H127">
        <v>38</v>
      </c>
      <c r="I127">
        <v>0.3952</v>
      </c>
      <c r="J127">
        <v>0.88700000000000001</v>
      </c>
      <c r="K127">
        <v>1.9711000000000001</v>
      </c>
      <c r="L127">
        <v>0.54649999999999999</v>
      </c>
    </row>
    <row r="128" spans="1:12">
      <c r="A128" t="s">
        <v>556</v>
      </c>
      <c r="B128">
        <v>0.3</v>
      </c>
      <c r="C128">
        <v>256</v>
      </c>
      <c r="D128" t="b">
        <v>0</v>
      </c>
      <c r="E128" t="s">
        <v>547</v>
      </c>
      <c r="F128" t="s">
        <v>531</v>
      </c>
      <c r="G128" t="s">
        <v>5</v>
      </c>
      <c r="H128">
        <v>120</v>
      </c>
      <c r="I128">
        <v>0.1706</v>
      </c>
      <c r="J128">
        <v>0.94910000000000005</v>
      </c>
      <c r="K128">
        <v>2.2113</v>
      </c>
      <c r="L128">
        <v>0.54649999999999999</v>
      </c>
    </row>
    <row r="129" spans="1:12">
      <c r="A129" t="s">
        <v>528</v>
      </c>
      <c r="B129">
        <v>0.3</v>
      </c>
      <c r="C129">
        <v>128</v>
      </c>
      <c r="D129" s="1" t="b">
        <v>0</v>
      </c>
      <c r="E129" t="s">
        <v>548</v>
      </c>
      <c r="F129" t="s">
        <v>532</v>
      </c>
      <c r="G129" t="s">
        <v>4</v>
      </c>
      <c r="H129" s="11">
        <v>74</v>
      </c>
      <c r="I129" s="18">
        <v>0.7248</v>
      </c>
      <c r="J129" s="18">
        <v>0.78690000000000004</v>
      </c>
      <c r="K129" s="18">
        <v>1.6897</v>
      </c>
      <c r="L129" s="18">
        <v>0.54600000000000004</v>
      </c>
    </row>
    <row r="130" spans="1:12">
      <c r="A130" t="s">
        <v>556</v>
      </c>
      <c r="B130">
        <v>0.5</v>
      </c>
      <c r="C130">
        <v>64</v>
      </c>
      <c r="D130" t="b">
        <v>0</v>
      </c>
      <c r="E130" t="s">
        <v>547</v>
      </c>
      <c r="F130" t="s">
        <v>532</v>
      </c>
      <c r="G130" t="s">
        <v>5</v>
      </c>
      <c r="H130">
        <v>39</v>
      </c>
      <c r="I130">
        <v>1.0564</v>
      </c>
      <c r="J130">
        <v>0.69089999999999996</v>
      </c>
      <c r="K130">
        <v>1.6901999999999999</v>
      </c>
      <c r="L130">
        <v>0.54600000000000004</v>
      </c>
    </row>
    <row r="131" spans="1:12">
      <c r="A131" t="s">
        <v>528</v>
      </c>
      <c r="B131">
        <v>0.3</v>
      </c>
      <c r="C131">
        <v>128</v>
      </c>
      <c r="D131" s="1" t="b">
        <v>1</v>
      </c>
      <c r="E131" t="s">
        <v>548</v>
      </c>
      <c r="F131" t="s">
        <v>532</v>
      </c>
      <c r="G131" t="s">
        <v>0</v>
      </c>
      <c r="H131" s="11">
        <v>141</v>
      </c>
      <c r="I131" s="18">
        <v>0.93899999999999995</v>
      </c>
      <c r="J131" s="18">
        <v>0.72119999999999995</v>
      </c>
      <c r="K131" s="18">
        <v>1.71</v>
      </c>
      <c r="L131" s="18">
        <v>0.54600000000000004</v>
      </c>
    </row>
    <row r="132" spans="1:12">
      <c r="A132" t="s">
        <v>556</v>
      </c>
      <c r="B132">
        <v>0.1</v>
      </c>
      <c r="C132">
        <v>256</v>
      </c>
      <c r="D132" t="b">
        <v>0</v>
      </c>
      <c r="E132" t="s">
        <v>547</v>
      </c>
      <c r="F132" t="s">
        <v>532</v>
      </c>
      <c r="G132" t="s">
        <v>2</v>
      </c>
      <c r="H132">
        <v>146</v>
      </c>
      <c r="I132">
        <v>0.75190000000000001</v>
      </c>
      <c r="J132">
        <v>0.78390000000000004</v>
      </c>
      <c r="K132">
        <v>1.7270000000000001</v>
      </c>
      <c r="L132">
        <v>0.54600000000000004</v>
      </c>
    </row>
    <row r="133" spans="1:12">
      <c r="A133" t="s">
        <v>528</v>
      </c>
      <c r="B133">
        <v>0.1</v>
      </c>
      <c r="C133">
        <v>256</v>
      </c>
      <c r="D133" s="1" t="b">
        <v>1</v>
      </c>
      <c r="E133" t="s">
        <v>547</v>
      </c>
      <c r="F133" t="s">
        <v>532</v>
      </c>
      <c r="G133" t="s">
        <v>1</v>
      </c>
      <c r="H133" s="11">
        <v>290</v>
      </c>
      <c r="I133" s="18">
        <v>1.0274000000000001</v>
      </c>
      <c r="J133" s="18">
        <v>0.69740000000000002</v>
      </c>
      <c r="K133" s="18">
        <v>1.7354000000000001</v>
      </c>
      <c r="L133" s="18">
        <v>0.54600000000000004</v>
      </c>
    </row>
    <row r="134" spans="1:12">
      <c r="A134" t="s">
        <v>528</v>
      </c>
      <c r="B134">
        <v>0.3</v>
      </c>
      <c r="C134">
        <v>64</v>
      </c>
      <c r="D134" s="1" t="b">
        <v>0</v>
      </c>
      <c r="E134" t="s">
        <v>547</v>
      </c>
      <c r="F134" t="s">
        <v>532</v>
      </c>
      <c r="G134" t="s">
        <v>3</v>
      </c>
      <c r="H134" s="11">
        <v>41</v>
      </c>
      <c r="I134" s="18">
        <v>1.232</v>
      </c>
      <c r="J134" s="18">
        <v>0.63049999999999995</v>
      </c>
      <c r="K134" s="18">
        <v>1.7787999999999999</v>
      </c>
      <c r="L134" s="18">
        <v>0.54600000000000004</v>
      </c>
    </row>
    <row r="135" spans="1:12">
      <c r="A135" t="s">
        <v>528</v>
      </c>
      <c r="B135">
        <v>0.5</v>
      </c>
      <c r="C135">
        <v>256</v>
      </c>
      <c r="D135" s="1" t="b">
        <v>0</v>
      </c>
      <c r="E135" t="s">
        <v>547</v>
      </c>
      <c r="F135" t="s">
        <v>531</v>
      </c>
      <c r="G135" t="s">
        <v>2</v>
      </c>
      <c r="H135" s="11">
        <v>170</v>
      </c>
      <c r="I135" s="18">
        <v>0.50600000000000001</v>
      </c>
      <c r="J135" s="18">
        <v>0.85160000000000002</v>
      </c>
      <c r="K135" s="18">
        <v>1.8237000000000001</v>
      </c>
      <c r="L135" s="18">
        <v>0.54600000000000004</v>
      </c>
    </row>
    <row r="136" spans="1:12">
      <c r="A136" t="s">
        <v>556</v>
      </c>
      <c r="B136">
        <v>0.3</v>
      </c>
      <c r="C136">
        <v>256</v>
      </c>
      <c r="D136" t="b">
        <v>0</v>
      </c>
      <c r="E136" t="s">
        <v>547</v>
      </c>
      <c r="F136" t="s">
        <v>531</v>
      </c>
      <c r="G136" t="s">
        <v>3</v>
      </c>
      <c r="H136">
        <v>119</v>
      </c>
      <c r="I136">
        <v>0.23499999999999999</v>
      </c>
      <c r="J136">
        <v>0.9325</v>
      </c>
      <c r="K136">
        <v>2.0960999999999999</v>
      </c>
      <c r="L136">
        <v>0.54600000000000004</v>
      </c>
    </row>
    <row r="137" spans="1:12">
      <c r="A137" t="s">
        <v>556</v>
      </c>
      <c r="B137">
        <v>0.1</v>
      </c>
      <c r="C137">
        <v>128</v>
      </c>
      <c r="D137" t="b">
        <v>0</v>
      </c>
      <c r="E137" t="s">
        <v>547</v>
      </c>
      <c r="F137" t="s">
        <v>532</v>
      </c>
      <c r="G137" t="s">
        <v>1</v>
      </c>
      <c r="H137">
        <v>56</v>
      </c>
      <c r="I137">
        <v>0.92720000000000002</v>
      </c>
      <c r="J137">
        <v>0.72689999999999999</v>
      </c>
      <c r="K137">
        <v>1.6867000000000001</v>
      </c>
      <c r="L137">
        <v>0.54549999999999998</v>
      </c>
    </row>
    <row r="138" spans="1:12">
      <c r="A138" t="s">
        <v>556</v>
      </c>
      <c r="B138">
        <v>0.3</v>
      </c>
      <c r="C138">
        <v>256</v>
      </c>
      <c r="D138" t="b">
        <v>0</v>
      </c>
      <c r="E138" t="s">
        <v>547</v>
      </c>
      <c r="F138" t="s">
        <v>532</v>
      </c>
      <c r="G138" t="s">
        <v>5</v>
      </c>
      <c r="H138">
        <v>120</v>
      </c>
      <c r="I138">
        <v>0.71299999999999997</v>
      </c>
      <c r="J138">
        <v>0.79110000000000003</v>
      </c>
      <c r="K138">
        <v>1.7148000000000001</v>
      </c>
      <c r="L138">
        <v>0.54549999999999998</v>
      </c>
    </row>
    <row r="139" spans="1:12">
      <c r="A139" t="s">
        <v>556</v>
      </c>
      <c r="B139">
        <v>0.5</v>
      </c>
      <c r="C139">
        <v>64</v>
      </c>
      <c r="D139" t="b">
        <v>0</v>
      </c>
      <c r="E139" t="s">
        <v>548</v>
      </c>
      <c r="F139" t="s">
        <v>532</v>
      </c>
      <c r="G139" t="s">
        <v>4</v>
      </c>
      <c r="H139">
        <v>36</v>
      </c>
      <c r="I139">
        <v>0.89859999999999995</v>
      </c>
      <c r="J139">
        <v>0.73460000000000003</v>
      </c>
      <c r="K139">
        <v>1.7366999999999999</v>
      </c>
      <c r="L139">
        <v>0.54549999999999998</v>
      </c>
    </row>
    <row r="140" spans="1:12">
      <c r="A140" t="s">
        <v>556</v>
      </c>
      <c r="B140">
        <v>0.5</v>
      </c>
      <c r="C140">
        <v>256</v>
      </c>
      <c r="D140" t="b">
        <v>0</v>
      </c>
      <c r="E140" t="s">
        <v>548</v>
      </c>
      <c r="F140" t="s">
        <v>531</v>
      </c>
      <c r="G140" t="s">
        <v>3</v>
      </c>
      <c r="H140">
        <v>117</v>
      </c>
      <c r="I140">
        <v>0.26150000000000001</v>
      </c>
      <c r="J140">
        <v>0.92110000000000003</v>
      </c>
      <c r="K140">
        <v>1.9630000000000001</v>
      </c>
      <c r="L140">
        <v>0.54549999999999998</v>
      </c>
    </row>
    <row r="141" spans="1:12">
      <c r="A141" t="s">
        <v>556</v>
      </c>
      <c r="B141">
        <v>0.3</v>
      </c>
      <c r="C141">
        <v>128</v>
      </c>
      <c r="D141" t="b">
        <v>0</v>
      </c>
      <c r="E141" t="s">
        <v>547</v>
      </c>
      <c r="F141" t="s">
        <v>531</v>
      </c>
      <c r="G141" t="s">
        <v>3</v>
      </c>
      <c r="H141">
        <v>63</v>
      </c>
      <c r="I141">
        <v>0.2298</v>
      </c>
      <c r="J141">
        <v>0.93340000000000001</v>
      </c>
      <c r="K141">
        <v>2.0817999999999999</v>
      </c>
      <c r="L141">
        <v>0.54549999999999998</v>
      </c>
    </row>
    <row r="142" spans="1:12">
      <c r="A142" t="s">
        <v>556</v>
      </c>
      <c r="B142">
        <v>0.5</v>
      </c>
      <c r="C142">
        <v>128</v>
      </c>
      <c r="D142" t="b">
        <v>0</v>
      </c>
      <c r="E142" t="s">
        <v>548</v>
      </c>
      <c r="F142" t="s">
        <v>531</v>
      </c>
      <c r="G142" t="s">
        <v>3</v>
      </c>
      <c r="H142">
        <v>59</v>
      </c>
      <c r="I142">
        <v>0.32440000000000002</v>
      </c>
      <c r="J142">
        <v>0.90439999999999998</v>
      </c>
      <c r="K142">
        <v>2.1166999999999998</v>
      </c>
      <c r="L142">
        <v>0.54549999999999998</v>
      </c>
    </row>
    <row r="143" spans="1:12">
      <c r="A143" t="s">
        <v>556</v>
      </c>
      <c r="B143">
        <v>0.5</v>
      </c>
      <c r="C143">
        <v>128</v>
      </c>
      <c r="D143" t="b">
        <v>0</v>
      </c>
      <c r="E143" t="s">
        <v>547</v>
      </c>
      <c r="F143" t="s">
        <v>532</v>
      </c>
      <c r="G143" t="s">
        <v>1</v>
      </c>
      <c r="H143">
        <v>61</v>
      </c>
      <c r="I143">
        <v>1.1859</v>
      </c>
      <c r="J143">
        <v>0.64610000000000001</v>
      </c>
      <c r="K143">
        <v>1.6675</v>
      </c>
      <c r="L143">
        <v>0.54500000000000004</v>
      </c>
    </row>
    <row r="144" spans="1:12">
      <c r="A144" t="s">
        <v>528</v>
      </c>
      <c r="B144">
        <v>0.1</v>
      </c>
      <c r="C144">
        <v>256</v>
      </c>
      <c r="D144" s="1" t="b">
        <v>0</v>
      </c>
      <c r="E144" t="s">
        <v>547</v>
      </c>
      <c r="F144" t="s">
        <v>532</v>
      </c>
      <c r="G144" t="s">
        <v>2</v>
      </c>
      <c r="H144" s="11">
        <v>149</v>
      </c>
      <c r="I144" s="18">
        <v>1.0915999999999999</v>
      </c>
      <c r="J144" s="18">
        <v>0.67449999999999999</v>
      </c>
      <c r="K144" s="18">
        <v>1.6832</v>
      </c>
      <c r="L144" s="18">
        <v>0.54500000000000004</v>
      </c>
    </row>
    <row r="145" spans="1:12">
      <c r="A145" t="s">
        <v>556</v>
      </c>
      <c r="B145">
        <v>0.3</v>
      </c>
      <c r="C145">
        <v>256</v>
      </c>
      <c r="D145" t="b">
        <v>0</v>
      </c>
      <c r="E145" t="s">
        <v>547</v>
      </c>
      <c r="F145" t="s">
        <v>532</v>
      </c>
      <c r="G145" t="s">
        <v>1</v>
      </c>
      <c r="H145">
        <v>119</v>
      </c>
      <c r="I145">
        <v>0.96830000000000005</v>
      </c>
      <c r="J145">
        <v>0.70740000000000003</v>
      </c>
      <c r="K145">
        <v>1.7096</v>
      </c>
      <c r="L145">
        <v>0.54500000000000004</v>
      </c>
    </row>
    <row r="146" spans="1:12">
      <c r="A146" t="s">
        <v>528</v>
      </c>
      <c r="B146">
        <v>0.3</v>
      </c>
      <c r="C146">
        <v>64</v>
      </c>
      <c r="D146" s="1" t="b">
        <v>1</v>
      </c>
      <c r="E146" t="s">
        <v>547</v>
      </c>
      <c r="F146" t="s">
        <v>532</v>
      </c>
      <c r="G146" t="s">
        <v>4</v>
      </c>
      <c r="H146" s="11">
        <v>72</v>
      </c>
      <c r="I146" s="18">
        <v>1.0819000000000001</v>
      </c>
      <c r="J146" s="18">
        <v>0.68110000000000004</v>
      </c>
      <c r="K146" s="18">
        <v>1.7682</v>
      </c>
      <c r="L146" s="18">
        <v>0.54500000000000004</v>
      </c>
    </row>
    <row r="147" spans="1:12">
      <c r="A147" t="s">
        <v>556</v>
      </c>
      <c r="B147">
        <v>0.5</v>
      </c>
      <c r="C147">
        <v>128</v>
      </c>
      <c r="D147" t="b">
        <v>0</v>
      </c>
      <c r="E147" t="s">
        <v>548</v>
      </c>
      <c r="F147" t="s">
        <v>532</v>
      </c>
      <c r="G147" t="s">
        <v>1</v>
      </c>
      <c r="H147">
        <v>58</v>
      </c>
      <c r="I147">
        <v>0.96250000000000002</v>
      </c>
      <c r="J147">
        <v>0.71689999999999998</v>
      </c>
      <c r="K147">
        <v>1.6711</v>
      </c>
      <c r="L147">
        <v>0.54449999999999998</v>
      </c>
    </row>
    <row r="148" spans="1:12">
      <c r="A148" t="s">
        <v>556</v>
      </c>
      <c r="B148">
        <v>0.5</v>
      </c>
      <c r="C148">
        <v>256</v>
      </c>
      <c r="D148" t="b">
        <v>0</v>
      </c>
      <c r="E148" t="s">
        <v>548</v>
      </c>
      <c r="F148" t="s">
        <v>532</v>
      </c>
      <c r="G148" t="s">
        <v>4</v>
      </c>
      <c r="H148">
        <v>115</v>
      </c>
      <c r="I148">
        <v>0.78420000000000001</v>
      </c>
      <c r="J148">
        <v>0.76719999999999999</v>
      </c>
      <c r="K148">
        <v>1.7341</v>
      </c>
      <c r="L148">
        <v>0.54449999999999998</v>
      </c>
    </row>
    <row r="149" spans="1:12">
      <c r="A149" t="s">
        <v>528</v>
      </c>
      <c r="B149">
        <v>0.3</v>
      </c>
      <c r="C149">
        <v>64</v>
      </c>
      <c r="D149" s="1" t="b">
        <v>0</v>
      </c>
      <c r="E149" t="s">
        <v>548</v>
      </c>
      <c r="F149" t="s">
        <v>532</v>
      </c>
      <c r="G149" t="s">
        <v>5</v>
      </c>
      <c r="H149" s="11">
        <v>41</v>
      </c>
      <c r="I149" s="18">
        <v>0.67530000000000001</v>
      </c>
      <c r="J149" s="18">
        <v>0.80820000000000003</v>
      </c>
      <c r="K149" s="18">
        <v>1.8427</v>
      </c>
      <c r="L149" s="18">
        <v>0.54449999999999998</v>
      </c>
    </row>
    <row r="150" spans="1:12">
      <c r="A150" t="s">
        <v>556</v>
      </c>
      <c r="B150">
        <v>0.3</v>
      </c>
      <c r="C150">
        <v>128</v>
      </c>
      <c r="D150" t="b">
        <v>0</v>
      </c>
      <c r="E150" t="s">
        <v>547</v>
      </c>
      <c r="F150" t="s">
        <v>531</v>
      </c>
      <c r="G150" t="s">
        <v>1</v>
      </c>
      <c r="H150">
        <v>60</v>
      </c>
      <c r="I150">
        <v>0.30859999999999999</v>
      </c>
      <c r="J150">
        <v>0.91100000000000003</v>
      </c>
      <c r="K150">
        <v>1.954</v>
      </c>
      <c r="L150">
        <v>0.54449999999999998</v>
      </c>
    </row>
    <row r="151" spans="1:12">
      <c r="A151" t="s">
        <v>528</v>
      </c>
      <c r="B151">
        <v>0.5</v>
      </c>
      <c r="C151">
        <v>256</v>
      </c>
      <c r="D151" s="1" t="b">
        <v>1</v>
      </c>
      <c r="E151" t="s">
        <v>548</v>
      </c>
      <c r="F151" t="s">
        <v>531</v>
      </c>
      <c r="G151" t="s">
        <v>3</v>
      </c>
      <c r="H151" s="11">
        <v>279</v>
      </c>
      <c r="I151" s="18">
        <v>0.48320000000000002</v>
      </c>
      <c r="J151" s="18">
        <v>0.85740000000000005</v>
      </c>
      <c r="K151" s="18">
        <v>1.9979</v>
      </c>
      <c r="L151" s="18">
        <v>0.54449999999999998</v>
      </c>
    </row>
    <row r="152" spans="1:12">
      <c r="A152" t="s">
        <v>528</v>
      </c>
      <c r="B152">
        <v>0.5</v>
      </c>
      <c r="C152">
        <v>128</v>
      </c>
      <c r="D152" s="1" t="b">
        <v>0</v>
      </c>
      <c r="E152" t="s">
        <v>547</v>
      </c>
      <c r="F152" t="s">
        <v>531</v>
      </c>
      <c r="G152" t="s">
        <v>4</v>
      </c>
      <c r="H152" s="11">
        <v>76</v>
      </c>
      <c r="I152" s="18">
        <v>0.41160000000000002</v>
      </c>
      <c r="J152" s="18">
        <v>0.87960000000000005</v>
      </c>
      <c r="K152" s="18">
        <v>2.0587</v>
      </c>
      <c r="L152" s="18">
        <v>0.54449999999999998</v>
      </c>
    </row>
    <row r="153" spans="1:12">
      <c r="A153" t="s">
        <v>528</v>
      </c>
      <c r="B153">
        <v>0.3</v>
      </c>
      <c r="C153">
        <v>256</v>
      </c>
      <c r="D153" s="1" t="b">
        <v>0</v>
      </c>
      <c r="E153" t="s">
        <v>547</v>
      </c>
      <c r="F153" t="s">
        <v>532</v>
      </c>
      <c r="G153" t="s">
        <v>4</v>
      </c>
      <c r="H153" s="11">
        <v>154</v>
      </c>
      <c r="I153" s="18">
        <v>1.0762</v>
      </c>
      <c r="J153" s="18">
        <v>0.68359999999999999</v>
      </c>
      <c r="K153" s="18">
        <v>1.6819</v>
      </c>
      <c r="L153" s="18">
        <v>0.54400000000000004</v>
      </c>
    </row>
    <row r="154" spans="1:12">
      <c r="A154" t="s">
        <v>528</v>
      </c>
      <c r="B154">
        <v>0.1</v>
      </c>
      <c r="C154">
        <v>256</v>
      </c>
      <c r="D154" s="1" t="b">
        <v>0</v>
      </c>
      <c r="E154" t="s">
        <v>547</v>
      </c>
      <c r="F154" t="s">
        <v>532</v>
      </c>
      <c r="G154" t="s">
        <v>1</v>
      </c>
      <c r="H154" s="11">
        <v>149</v>
      </c>
      <c r="I154" s="18">
        <v>1.1805000000000001</v>
      </c>
      <c r="J154" s="18">
        <v>0.64790000000000003</v>
      </c>
      <c r="K154" s="18">
        <v>1.7206999999999999</v>
      </c>
      <c r="L154" s="18">
        <v>0.54400000000000004</v>
      </c>
    </row>
    <row r="155" spans="1:12">
      <c r="A155" t="s">
        <v>528</v>
      </c>
      <c r="B155">
        <v>0.1</v>
      </c>
      <c r="C155">
        <v>128</v>
      </c>
      <c r="D155" s="1" t="b">
        <v>0</v>
      </c>
      <c r="E155" t="s">
        <v>547</v>
      </c>
      <c r="F155" t="s">
        <v>532</v>
      </c>
      <c r="G155" t="s">
        <v>4</v>
      </c>
      <c r="H155" s="11">
        <v>73</v>
      </c>
      <c r="I155" s="18">
        <v>0.90580000000000005</v>
      </c>
      <c r="J155" s="18">
        <v>0.74009999999999998</v>
      </c>
      <c r="K155" s="18">
        <v>1.7574000000000001</v>
      </c>
      <c r="L155" s="18">
        <v>0.54400000000000004</v>
      </c>
    </row>
    <row r="156" spans="1:12">
      <c r="A156" t="s">
        <v>556</v>
      </c>
      <c r="B156">
        <v>0.3</v>
      </c>
      <c r="C156">
        <v>64</v>
      </c>
      <c r="D156" t="b">
        <v>0</v>
      </c>
      <c r="E156" t="s">
        <v>548</v>
      </c>
      <c r="F156" t="s">
        <v>532</v>
      </c>
      <c r="G156" t="s">
        <v>5</v>
      </c>
      <c r="H156">
        <v>35</v>
      </c>
      <c r="I156">
        <v>0.70730000000000004</v>
      </c>
      <c r="J156">
        <v>0.78839999999999999</v>
      </c>
      <c r="K156">
        <v>1.8136000000000001</v>
      </c>
      <c r="L156">
        <v>0.54400000000000004</v>
      </c>
    </row>
    <row r="157" spans="1:12">
      <c r="A157" t="s">
        <v>556</v>
      </c>
      <c r="B157">
        <v>0.3</v>
      </c>
      <c r="C157">
        <v>256</v>
      </c>
      <c r="D157" t="b">
        <v>0</v>
      </c>
      <c r="E157" t="s">
        <v>547</v>
      </c>
      <c r="F157" t="s">
        <v>532</v>
      </c>
      <c r="G157" t="s">
        <v>3</v>
      </c>
      <c r="H157">
        <v>119</v>
      </c>
      <c r="I157">
        <v>0.81850000000000001</v>
      </c>
      <c r="J157">
        <v>0.76029999999999998</v>
      </c>
      <c r="K157">
        <v>1.7057</v>
      </c>
      <c r="L157">
        <v>0.54349999999999998</v>
      </c>
    </row>
    <row r="158" spans="1:12">
      <c r="A158" t="s">
        <v>528</v>
      </c>
      <c r="B158">
        <v>0.5</v>
      </c>
      <c r="C158">
        <v>64</v>
      </c>
      <c r="D158" s="1" t="b">
        <v>1</v>
      </c>
      <c r="E158" t="s">
        <v>548</v>
      </c>
      <c r="F158" t="s">
        <v>532</v>
      </c>
      <c r="G158" t="s">
        <v>4</v>
      </c>
      <c r="H158" s="11">
        <v>74</v>
      </c>
      <c r="I158" s="18">
        <v>0.9768</v>
      </c>
      <c r="J158" s="18">
        <v>0.70920000000000005</v>
      </c>
      <c r="K158" s="18">
        <v>1.7778</v>
      </c>
      <c r="L158" s="18">
        <v>0.54349999999999998</v>
      </c>
    </row>
    <row r="159" spans="1:12">
      <c r="A159" t="s">
        <v>556</v>
      </c>
      <c r="B159">
        <v>0.5</v>
      </c>
      <c r="C159">
        <v>64</v>
      </c>
      <c r="D159" t="b">
        <v>0</v>
      </c>
      <c r="E159" t="s">
        <v>547</v>
      </c>
      <c r="F159" t="s">
        <v>531</v>
      </c>
      <c r="G159" t="s">
        <v>2</v>
      </c>
      <c r="H159">
        <v>38</v>
      </c>
      <c r="I159">
        <v>0.50839999999999996</v>
      </c>
      <c r="J159">
        <v>0.8538</v>
      </c>
      <c r="K159">
        <v>1.9079999999999999</v>
      </c>
      <c r="L159">
        <v>0.54349999999999998</v>
      </c>
    </row>
    <row r="160" spans="1:12">
      <c r="A160" t="s">
        <v>556</v>
      </c>
      <c r="B160">
        <v>0.3</v>
      </c>
      <c r="C160">
        <v>128</v>
      </c>
      <c r="D160" t="b">
        <v>0</v>
      </c>
      <c r="E160" t="s">
        <v>547</v>
      </c>
      <c r="F160" t="s">
        <v>531</v>
      </c>
      <c r="G160" t="s">
        <v>2</v>
      </c>
      <c r="H160">
        <v>67</v>
      </c>
      <c r="I160">
        <v>0.25480000000000003</v>
      </c>
      <c r="J160">
        <v>0.92589999999999995</v>
      </c>
      <c r="K160">
        <v>2.0556000000000001</v>
      </c>
      <c r="L160">
        <v>0.54349999999999998</v>
      </c>
    </row>
    <row r="161" spans="1:12">
      <c r="A161" t="s">
        <v>556</v>
      </c>
      <c r="B161">
        <v>0.1</v>
      </c>
      <c r="C161">
        <v>256</v>
      </c>
      <c r="D161" t="b">
        <v>0</v>
      </c>
      <c r="E161" t="s">
        <v>548</v>
      </c>
      <c r="F161" t="s">
        <v>532</v>
      </c>
      <c r="G161" t="s">
        <v>0</v>
      </c>
      <c r="H161">
        <v>118</v>
      </c>
      <c r="I161">
        <v>0.74850000000000005</v>
      </c>
      <c r="J161">
        <v>0.77480000000000004</v>
      </c>
      <c r="K161">
        <v>1.8027</v>
      </c>
      <c r="L161">
        <v>0.54300000000000004</v>
      </c>
    </row>
    <row r="162" spans="1:12">
      <c r="A162" t="s">
        <v>528</v>
      </c>
      <c r="B162">
        <v>0.1</v>
      </c>
      <c r="C162">
        <v>256</v>
      </c>
      <c r="D162" s="1" t="b">
        <v>0</v>
      </c>
      <c r="E162" t="s">
        <v>547</v>
      </c>
      <c r="F162" t="s">
        <v>531</v>
      </c>
      <c r="G162" t="s">
        <v>1</v>
      </c>
      <c r="H162" s="11">
        <v>165</v>
      </c>
      <c r="I162" s="18">
        <v>0.3553</v>
      </c>
      <c r="J162" s="18">
        <v>0.89810000000000001</v>
      </c>
      <c r="K162" s="18">
        <v>2.0733000000000001</v>
      </c>
      <c r="L162" s="18">
        <v>0.54300000000000004</v>
      </c>
    </row>
    <row r="163" spans="1:12">
      <c r="A163" t="s">
        <v>556</v>
      </c>
      <c r="B163">
        <v>0.5</v>
      </c>
      <c r="C163">
        <v>128</v>
      </c>
      <c r="D163" t="b">
        <v>0</v>
      </c>
      <c r="E163" t="s">
        <v>547</v>
      </c>
      <c r="F163" t="s">
        <v>532</v>
      </c>
      <c r="G163" t="s">
        <v>0</v>
      </c>
      <c r="H163">
        <v>61</v>
      </c>
      <c r="I163">
        <v>1.2748999999999999</v>
      </c>
      <c r="J163">
        <v>0.61209999999999998</v>
      </c>
      <c r="K163">
        <v>1.6859999999999999</v>
      </c>
      <c r="L163">
        <v>0.54249999999999998</v>
      </c>
    </row>
    <row r="164" spans="1:12">
      <c r="A164" t="s">
        <v>528</v>
      </c>
      <c r="B164">
        <v>0.5</v>
      </c>
      <c r="C164">
        <v>256</v>
      </c>
      <c r="D164" s="1" t="b">
        <v>0</v>
      </c>
      <c r="E164" t="s">
        <v>548</v>
      </c>
      <c r="F164" t="s">
        <v>532</v>
      </c>
      <c r="G164" t="s">
        <v>0</v>
      </c>
      <c r="H164" s="11">
        <v>141</v>
      </c>
      <c r="I164" s="18">
        <v>1.2199</v>
      </c>
      <c r="J164" s="18">
        <v>0.64100000000000001</v>
      </c>
      <c r="K164" s="18">
        <v>1.6886000000000001</v>
      </c>
      <c r="L164" s="18">
        <v>0.54249999999999998</v>
      </c>
    </row>
    <row r="165" spans="1:12">
      <c r="A165" t="s">
        <v>528</v>
      </c>
      <c r="B165">
        <v>0.1</v>
      </c>
      <c r="C165">
        <v>256</v>
      </c>
      <c r="D165" s="1" t="b">
        <v>0</v>
      </c>
      <c r="E165" t="s">
        <v>547</v>
      </c>
      <c r="F165" t="s">
        <v>532</v>
      </c>
      <c r="G165" t="s">
        <v>5</v>
      </c>
      <c r="H165" s="11">
        <v>150</v>
      </c>
      <c r="I165" s="18">
        <v>0.89349999999999996</v>
      </c>
      <c r="J165" s="18">
        <v>0.73709999999999998</v>
      </c>
      <c r="K165" s="18">
        <v>1.7537</v>
      </c>
      <c r="L165" s="18">
        <v>0.54249999999999998</v>
      </c>
    </row>
    <row r="166" spans="1:12">
      <c r="A166" t="s">
        <v>528</v>
      </c>
      <c r="B166">
        <v>0.3</v>
      </c>
      <c r="C166">
        <v>256</v>
      </c>
      <c r="D166" s="1" t="b">
        <v>1</v>
      </c>
      <c r="E166" t="s">
        <v>547</v>
      </c>
      <c r="F166" t="s">
        <v>532</v>
      </c>
      <c r="G166" t="s">
        <v>5</v>
      </c>
      <c r="H166" s="11">
        <v>312</v>
      </c>
      <c r="I166" s="18">
        <v>0.89370000000000005</v>
      </c>
      <c r="J166" s="18">
        <v>0.73480000000000001</v>
      </c>
      <c r="K166" s="18">
        <v>1.7844</v>
      </c>
      <c r="L166" s="18">
        <v>0.54249999999999998</v>
      </c>
    </row>
    <row r="167" spans="1:12">
      <c r="A167" t="s">
        <v>528</v>
      </c>
      <c r="B167">
        <v>0.5</v>
      </c>
      <c r="C167">
        <v>64</v>
      </c>
      <c r="D167" s="1" t="b">
        <v>0</v>
      </c>
      <c r="E167" t="s">
        <v>548</v>
      </c>
      <c r="F167" t="s">
        <v>531</v>
      </c>
      <c r="G167" t="s">
        <v>2</v>
      </c>
      <c r="H167" s="11">
        <v>50</v>
      </c>
      <c r="I167" s="18">
        <v>0.4108</v>
      </c>
      <c r="J167" s="18">
        <v>0.88560000000000005</v>
      </c>
      <c r="K167" s="18">
        <v>2.0758000000000001</v>
      </c>
      <c r="L167" s="18">
        <v>0.54249999999999998</v>
      </c>
    </row>
    <row r="168" spans="1:12">
      <c r="A168" t="s">
        <v>556</v>
      </c>
      <c r="B168">
        <v>0.1</v>
      </c>
      <c r="C168">
        <v>64</v>
      </c>
      <c r="D168" t="b">
        <v>0</v>
      </c>
      <c r="E168" t="s">
        <v>547</v>
      </c>
      <c r="F168" t="s">
        <v>532</v>
      </c>
      <c r="G168" t="s">
        <v>0</v>
      </c>
      <c r="H168">
        <v>34</v>
      </c>
      <c r="I168">
        <v>1.1332</v>
      </c>
      <c r="J168">
        <v>0.6714</v>
      </c>
      <c r="K168">
        <v>1.7000999999999999</v>
      </c>
      <c r="L168">
        <v>0.54200000000000004</v>
      </c>
    </row>
    <row r="169" spans="1:12">
      <c r="A169" t="s">
        <v>528</v>
      </c>
      <c r="B169">
        <v>0.3</v>
      </c>
      <c r="C169">
        <v>128</v>
      </c>
      <c r="D169" s="1" t="b">
        <v>1</v>
      </c>
      <c r="E169" t="s">
        <v>547</v>
      </c>
      <c r="F169" t="s">
        <v>532</v>
      </c>
      <c r="G169" t="s">
        <v>5</v>
      </c>
      <c r="H169" s="11">
        <v>142</v>
      </c>
      <c r="I169" s="18">
        <v>0.94310000000000005</v>
      </c>
      <c r="J169" s="18">
        <v>0.71830000000000005</v>
      </c>
      <c r="K169" s="18">
        <v>1.7458</v>
      </c>
      <c r="L169" s="18">
        <v>0.54200000000000004</v>
      </c>
    </row>
    <row r="170" spans="1:12">
      <c r="A170" t="s">
        <v>556</v>
      </c>
      <c r="B170">
        <v>0.5</v>
      </c>
      <c r="C170">
        <v>128</v>
      </c>
      <c r="D170" t="b">
        <v>0</v>
      </c>
      <c r="E170" t="s">
        <v>548</v>
      </c>
      <c r="F170" t="s">
        <v>532</v>
      </c>
      <c r="G170" t="s">
        <v>4</v>
      </c>
      <c r="H170">
        <v>61</v>
      </c>
      <c r="I170">
        <v>0.77539999999999998</v>
      </c>
      <c r="J170">
        <v>0.76959999999999995</v>
      </c>
      <c r="K170">
        <v>1.7491000000000001</v>
      </c>
      <c r="L170">
        <v>0.54200000000000004</v>
      </c>
    </row>
    <row r="171" spans="1:12">
      <c r="A171" t="s">
        <v>528</v>
      </c>
      <c r="B171">
        <v>0.3</v>
      </c>
      <c r="C171">
        <v>64</v>
      </c>
      <c r="D171" s="1" t="b">
        <v>0</v>
      </c>
      <c r="E171" t="s">
        <v>548</v>
      </c>
      <c r="F171" t="s">
        <v>532</v>
      </c>
      <c r="G171" t="s">
        <v>3</v>
      </c>
      <c r="H171" s="11">
        <v>41</v>
      </c>
      <c r="I171" s="18">
        <v>0.82010000000000005</v>
      </c>
      <c r="J171" s="18">
        <v>0.76390000000000002</v>
      </c>
      <c r="K171" s="18">
        <v>1.7557</v>
      </c>
      <c r="L171" s="18">
        <v>0.54200000000000004</v>
      </c>
    </row>
    <row r="172" spans="1:12">
      <c r="A172" t="s">
        <v>528</v>
      </c>
      <c r="B172">
        <v>0.3</v>
      </c>
      <c r="C172">
        <v>128</v>
      </c>
      <c r="D172" s="1" t="b">
        <v>1</v>
      </c>
      <c r="E172" t="s">
        <v>548</v>
      </c>
      <c r="F172" t="s">
        <v>532</v>
      </c>
      <c r="G172" t="s">
        <v>1</v>
      </c>
      <c r="H172" s="11">
        <v>142</v>
      </c>
      <c r="I172" s="18">
        <v>0.86350000000000005</v>
      </c>
      <c r="J172" s="18">
        <v>0.73799999999999999</v>
      </c>
      <c r="K172" s="18">
        <v>1.7867999999999999</v>
      </c>
      <c r="L172" s="18">
        <v>0.54200000000000004</v>
      </c>
    </row>
    <row r="173" spans="1:12">
      <c r="A173" t="s">
        <v>556</v>
      </c>
      <c r="B173">
        <v>0.5</v>
      </c>
      <c r="C173">
        <v>256</v>
      </c>
      <c r="D173" t="b">
        <v>0</v>
      </c>
      <c r="E173" t="s">
        <v>547</v>
      </c>
      <c r="F173" t="s">
        <v>531</v>
      </c>
      <c r="G173" t="s">
        <v>0</v>
      </c>
      <c r="H173">
        <v>119</v>
      </c>
      <c r="I173">
        <v>0.45700000000000002</v>
      </c>
      <c r="J173">
        <v>0.86409999999999998</v>
      </c>
      <c r="K173">
        <v>1.8371</v>
      </c>
      <c r="L173">
        <v>0.54200000000000004</v>
      </c>
    </row>
    <row r="174" spans="1:12">
      <c r="A174" t="s">
        <v>556</v>
      </c>
      <c r="B174">
        <v>0.5</v>
      </c>
      <c r="C174">
        <v>128</v>
      </c>
      <c r="D174" t="b">
        <v>0</v>
      </c>
      <c r="E174" t="s">
        <v>547</v>
      </c>
      <c r="F174" t="s">
        <v>531</v>
      </c>
      <c r="G174" t="s">
        <v>5</v>
      </c>
      <c r="H174">
        <v>61</v>
      </c>
      <c r="I174">
        <v>0.30859999999999999</v>
      </c>
      <c r="J174">
        <v>0.91190000000000004</v>
      </c>
      <c r="K174">
        <v>1.9359999999999999</v>
      </c>
      <c r="L174">
        <v>0.54200000000000004</v>
      </c>
    </row>
    <row r="175" spans="1:12">
      <c r="A175" t="s">
        <v>556</v>
      </c>
      <c r="B175">
        <v>0.5</v>
      </c>
      <c r="C175">
        <v>256</v>
      </c>
      <c r="D175" t="b">
        <v>0</v>
      </c>
      <c r="E175" t="s">
        <v>547</v>
      </c>
      <c r="F175" t="s">
        <v>531</v>
      </c>
      <c r="G175" t="s">
        <v>2</v>
      </c>
      <c r="H175">
        <v>118</v>
      </c>
      <c r="I175">
        <v>0.34470000000000001</v>
      </c>
      <c r="J175">
        <v>0.89590000000000003</v>
      </c>
      <c r="K175">
        <v>1.9369000000000001</v>
      </c>
      <c r="L175">
        <v>0.54200000000000004</v>
      </c>
    </row>
    <row r="176" spans="1:12">
      <c r="A176" t="s">
        <v>556</v>
      </c>
      <c r="B176">
        <v>0.5</v>
      </c>
      <c r="C176">
        <v>64</v>
      </c>
      <c r="D176" t="b">
        <v>0</v>
      </c>
      <c r="E176" t="s">
        <v>547</v>
      </c>
      <c r="F176" t="s">
        <v>531</v>
      </c>
      <c r="G176" t="s">
        <v>5</v>
      </c>
      <c r="H176">
        <v>38</v>
      </c>
      <c r="I176">
        <v>0.36220000000000002</v>
      </c>
      <c r="J176">
        <v>0.89639999999999997</v>
      </c>
      <c r="K176">
        <v>2.0356999999999998</v>
      </c>
      <c r="L176">
        <v>0.54200000000000004</v>
      </c>
    </row>
    <row r="177" spans="1:12">
      <c r="A177" t="s">
        <v>556</v>
      </c>
      <c r="B177">
        <v>0.1</v>
      </c>
      <c r="C177">
        <v>128</v>
      </c>
      <c r="D177" t="b">
        <v>0</v>
      </c>
      <c r="E177" t="s">
        <v>547</v>
      </c>
      <c r="F177" t="s">
        <v>531</v>
      </c>
      <c r="G177" t="s">
        <v>1</v>
      </c>
      <c r="H177">
        <v>61</v>
      </c>
      <c r="I177">
        <v>0.25600000000000001</v>
      </c>
      <c r="J177">
        <v>0.9254</v>
      </c>
      <c r="K177">
        <v>2.0537000000000001</v>
      </c>
      <c r="L177">
        <v>0.54200000000000004</v>
      </c>
    </row>
    <row r="178" spans="1:12">
      <c r="A178" t="s">
        <v>528</v>
      </c>
      <c r="B178">
        <v>0.3</v>
      </c>
      <c r="C178">
        <v>256</v>
      </c>
      <c r="D178" s="1" t="b">
        <v>0</v>
      </c>
      <c r="E178" t="s">
        <v>548</v>
      </c>
      <c r="F178" t="s">
        <v>531</v>
      </c>
      <c r="G178" t="s">
        <v>2</v>
      </c>
      <c r="H178" s="11">
        <v>141</v>
      </c>
      <c r="I178" s="18">
        <v>0.29499999999999998</v>
      </c>
      <c r="J178" s="18">
        <v>0.91659999999999997</v>
      </c>
      <c r="K178" s="18">
        <v>2.169</v>
      </c>
      <c r="L178" s="18">
        <v>0.54200000000000004</v>
      </c>
    </row>
    <row r="179" spans="1:12">
      <c r="A179" t="s">
        <v>528</v>
      </c>
      <c r="B179">
        <v>0.5</v>
      </c>
      <c r="C179">
        <v>128</v>
      </c>
      <c r="D179" s="1" t="b">
        <v>0</v>
      </c>
      <c r="E179" t="s">
        <v>547</v>
      </c>
      <c r="F179" t="s">
        <v>532</v>
      </c>
      <c r="G179" t="s">
        <v>4</v>
      </c>
      <c r="H179" s="11">
        <v>76</v>
      </c>
      <c r="I179" s="18">
        <v>1.1873</v>
      </c>
      <c r="J179" s="18">
        <v>0.64539999999999997</v>
      </c>
      <c r="K179" s="18">
        <v>1.6889000000000001</v>
      </c>
      <c r="L179" s="18">
        <v>0.54149999999999998</v>
      </c>
    </row>
    <row r="180" spans="1:12">
      <c r="A180" t="s">
        <v>528</v>
      </c>
      <c r="B180">
        <v>0.3</v>
      </c>
      <c r="C180">
        <v>256</v>
      </c>
      <c r="D180" s="1" t="b">
        <v>0</v>
      </c>
      <c r="E180" t="s">
        <v>548</v>
      </c>
      <c r="F180" t="s">
        <v>532</v>
      </c>
      <c r="G180" t="s">
        <v>1</v>
      </c>
      <c r="H180" s="11">
        <v>143</v>
      </c>
      <c r="I180" s="18">
        <v>0.97889999999999999</v>
      </c>
      <c r="J180" s="18">
        <v>0.71160000000000001</v>
      </c>
      <c r="K180" s="18">
        <v>1.7014</v>
      </c>
      <c r="L180" s="18">
        <v>0.54149999999999998</v>
      </c>
    </row>
    <row r="181" spans="1:12">
      <c r="A181" t="s">
        <v>528</v>
      </c>
      <c r="B181">
        <v>0.3</v>
      </c>
      <c r="C181">
        <v>128</v>
      </c>
      <c r="D181" s="1" t="b">
        <v>0</v>
      </c>
      <c r="E181" t="s">
        <v>548</v>
      </c>
      <c r="F181" t="s">
        <v>532</v>
      </c>
      <c r="G181" t="s">
        <v>5</v>
      </c>
      <c r="H181" s="11">
        <v>73</v>
      </c>
      <c r="I181" s="18">
        <v>0.67869999999999997</v>
      </c>
      <c r="J181" s="18">
        <v>0.7974</v>
      </c>
      <c r="K181" s="18">
        <v>1.7412000000000001</v>
      </c>
      <c r="L181" s="18">
        <v>0.54149999999999998</v>
      </c>
    </row>
    <row r="182" spans="1:12">
      <c r="A182" t="s">
        <v>528</v>
      </c>
      <c r="B182">
        <v>0.3</v>
      </c>
      <c r="C182">
        <v>128</v>
      </c>
      <c r="D182" s="1" t="b">
        <v>1</v>
      </c>
      <c r="E182" t="s">
        <v>547</v>
      </c>
      <c r="F182" t="s">
        <v>532</v>
      </c>
      <c r="G182" t="s">
        <v>3</v>
      </c>
      <c r="H182" s="11">
        <v>141</v>
      </c>
      <c r="I182" s="18">
        <v>1.0466</v>
      </c>
      <c r="J182" s="18">
        <v>0.6925</v>
      </c>
      <c r="K182" s="18">
        <v>1.7482</v>
      </c>
      <c r="L182" s="18">
        <v>0.54149999999999998</v>
      </c>
    </row>
    <row r="183" spans="1:12">
      <c r="A183" t="s">
        <v>556</v>
      </c>
      <c r="B183">
        <v>0.1</v>
      </c>
      <c r="C183">
        <v>128</v>
      </c>
      <c r="D183" t="b">
        <v>0</v>
      </c>
      <c r="E183" t="s">
        <v>548</v>
      </c>
      <c r="F183" t="s">
        <v>532</v>
      </c>
      <c r="G183" t="s">
        <v>2</v>
      </c>
      <c r="H183">
        <v>57</v>
      </c>
      <c r="I183">
        <v>0.60799999999999998</v>
      </c>
      <c r="J183">
        <v>0.81910000000000005</v>
      </c>
      <c r="K183">
        <v>1.8767</v>
      </c>
      <c r="L183">
        <v>0.54149999999999998</v>
      </c>
    </row>
    <row r="184" spans="1:12">
      <c r="A184" t="s">
        <v>556</v>
      </c>
      <c r="B184">
        <v>0.3</v>
      </c>
      <c r="C184">
        <v>128</v>
      </c>
      <c r="D184" t="b">
        <v>0</v>
      </c>
      <c r="E184" t="s">
        <v>547</v>
      </c>
      <c r="F184" t="s">
        <v>531</v>
      </c>
      <c r="G184" t="s">
        <v>4</v>
      </c>
      <c r="H184">
        <v>62</v>
      </c>
      <c r="I184">
        <v>0.20499999999999999</v>
      </c>
      <c r="J184">
        <v>0.93889999999999996</v>
      </c>
      <c r="K184">
        <v>2.1236999999999999</v>
      </c>
      <c r="L184">
        <v>0.54149999999999998</v>
      </c>
    </row>
    <row r="185" spans="1:12">
      <c r="A185" t="s">
        <v>528</v>
      </c>
      <c r="B185">
        <v>0.5</v>
      </c>
      <c r="C185">
        <v>256</v>
      </c>
      <c r="D185" s="1" t="b">
        <v>0</v>
      </c>
      <c r="E185" t="s">
        <v>547</v>
      </c>
      <c r="F185" t="s">
        <v>532</v>
      </c>
      <c r="G185" t="s">
        <v>4</v>
      </c>
      <c r="H185" s="11">
        <v>173</v>
      </c>
      <c r="I185" s="18">
        <v>1.1756</v>
      </c>
      <c r="J185" s="18">
        <v>0.65</v>
      </c>
      <c r="K185" s="18">
        <v>1.7112000000000001</v>
      </c>
      <c r="L185" s="18">
        <v>0.54100000000000004</v>
      </c>
    </row>
    <row r="186" spans="1:12">
      <c r="A186" t="s">
        <v>528</v>
      </c>
      <c r="B186">
        <v>0.3</v>
      </c>
      <c r="C186">
        <v>128</v>
      </c>
      <c r="D186" s="1" t="b">
        <v>1</v>
      </c>
      <c r="E186" t="s">
        <v>548</v>
      </c>
      <c r="F186" t="s">
        <v>532</v>
      </c>
      <c r="G186" t="s">
        <v>3</v>
      </c>
      <c r="H186" s="11">
        <v>141</v>
      </c>
      <c r="I186" s="18">
        <v>0.75119999999999998</v>
      </c>
      <c r="J186" s="18">
        <v>0.78159999999999996</v>
      </c>
      <c r="K186" s="18">
        <v>1.8272999999999999</v>
      </c>
      <c r="L186" s="18">
        <v>0.54100000000000004</v>
      </c>
    </row>
    <row r="187" spans="1:12">
      <c r="A187" t="s">
        <v>528</v>
      </c>
      <c r="B187">
        <v>0.5</v>
      </c>
      <c r="C187">
        <v>128</v>
      </c>
      <c r="D187" s="1" t="b">
        <v>0</v>
      </c>
      <c r="E187" t="s">
        <v>547</v>
      </c>
      <c r="F187" t="s">
        <v>531</v>
      </c>
      <c r="G187" t="s">
        <v>3</v>
      </c>
      <c r="H187" s="11">
        <v>76</v>
      </c>
      <c r="I187" s="18">
        <v>0.44400000000000001</v>
      </c>
      <c r="J187" s="18">
        <v>0.874</v>
      </c>
      <c r="K187" s="18">
        <v>2.0215999999999998</v>
      </c>
      <c r="L187" s="18">
        <v>0.54100000000000004</v>
      </c>
    </row>
    <row r="188" spans="1:12">
      <c r="A188" t="s">
        <v>556</v>
      </c>
      <c r="B188">
        <v>0.1</v>
      </c>
      <c r="C188">
        <v>128</v>
      </c>
      <c r="D188" t="b">
        <v>0</v>
      </c>
      <c r="E188" t="s">
        <v>547</v>
      </c>
      <c r="F188" t="s">
        <v>531</v>
      </c>
      <c r="G188" t="s">
        <v>2</v>
      </c>
      <c r="H188">
        <v>60</v>
      </c>
      <c r="I188">
        <v>0.2001</v>
      </c>
      <c r="J188">
        <v>0.94299999999999995</v>
      </c>
      <c r="K188">
        <v>2.1404000000000001</v>
      </c>
      <c r="L188">
        <v>0.54100000000000004</v>
      </c>
    </row>
    <row r="189" spans="1:12">
      <c r="A189" t="s">
        <v>556</v>
      </c>
      <c r="B189">
        <v>0.5</v>
      </c>
      <c r="C189">
        <v>128</v>
      </c>
      <c r="D189" t="b">
        <v>0</v>
      </c>
      <c r="E189" t="s">
        <v>548</v>
      </c>
      <c r="F189" t="s">
        <v>532</v>
      </c>
      <c r="G189" t="s">
        <v>0</v>
      </c>
      <c r="H189">
        <v>58</v>
      </c>
      <c r="I189">
        <v>1.0277000000000001</v>
      </c>
      <c r="J189">
        <v>0.6925</v>
      </c>
      <c r="K189">
        <v>1.7102999999999999</v>
      </c>
      <c r="L189">
        <v>0.54049999999999998</v>
      </c>
    </row>
    <row r="190" spans="1:12">
      <c r="A190" t="s">
        <v>556</v>
      </c>
      <c r="B190">
        <v>0.3</v>
      </c>
      <c r="C190">
        <v>64</v>
      </c>
      <c r="D190" t="b">
        <v>0</v>
      </c>
      <c r="E190" t="s">
        <v>547</v>
      </c>
      <c r="F190" t="s">
        <v>532</v>
      </c>
      <c r="G190" t="s">
        <v>0</v>
      </c>
      <c r="H190">
        <v>37</v>
      </c>
      <c r="I190">
        <v>1.2625999999999999</v>
      </c>
      <c r="J190">
        <v>0.62790000000000001</v>
      </c>
      <c r="K190">
        <v>1.724</v>
      </c>
      <c r="L190">
        <v>0.54049999999999998</v>
      </c>
    </row>
    <row r="191" spans="1:12">
      <c r="A191" t="s">
        <v>528</v>
      </c>
      <c r="B191">
        <v>0.5</v>
      </c>
      <c r="C191">
        <v>64</v>
      </c>
      <c r="D191" s="1" t="b">
        <v>0</v>
      </c>
      <c r="E191" t="s">
        <v>547</v>
      </c>
      <c r="F191" t="s">
        <v>532</v>
      </c>
      <c r="G191" t="s">
        <v>5</v>
      </c>
      <c r="H191" s="11">
        <v>41</v>
      </c>
      <c r="I191" s="18">
        <v>1.2191000000000001</v>
      </c>
      <c r="J191" s="18">
        <v>0.63749999999999996</v>
      </c>
      <c r="K191" s="18">
        <v>1.7262</v>
      </c>
      <c r="L191" s="18">
        <v>0.54049999999999998</v>
      </c>
    </row>
    <row r="192" spans="1:12">
      <c r="A192" t="s">
        <v>556</v>
      </c>
      <c r="B192">
        <v>0.3</v>
      </c>
      <c r="C192">
        <v>256</v>
      </c>
      <c r="D192" t="b">
        <v>0</v>
      </c>
      <c r="E192" t="s">
        <v>547</v>
      </c>
      <c r="F192" t="s">
        <v>532</v>
      </c>
      <c r="G192" t="s">
        <v>2</v>
      </c>
      <c r="H192">
        <v>119</v>
      </c>
      <c r="I192">
        <v>0.91159999999999997</v>
      </c>
      <c r="J192">
        <v>0.73050000000000004</v>
      </c>
      <c r="K192">
        <v>1.7553000000000001</v>
      </c>
      <c r="L192">
        <v>0.54049999999999998</v>
      </c>
    </row>
    <row r="193" spans="1:12">
      <c r="A193" t="s">
        <v>528</v>
      </c>
      <c r="B193">
        <v>0.3</v>
      </c>
      <c r="C193">
        <v>128</v>
      </c>
      <c r="D193" s="1" t="b">
        <v>0</v>
      </c>
      <c r="E193" t="s">
        <v>548</v>
      </c>
      <c r="F193" t="s">
        <v>531</v>
      </c>
      <c r="G193" t="s">
        <v>3</v>
      </c>
      <c r="H193" s="11">
        <v>74</v>
      </c>
      <c r="I193" s="18">
        <v>0.26869999999999999</v>
      </c>
      <c r="J193" s="18">
        <v>0.92330000000000001</v>
      </c>
      <c r="K193" s="18">
        <v>2.2252999999999998</v>
      </c>
      <c r="L193" s="18">
        <v>0.54049999999999998</v>
      </c>
    </row>
    <row r="194" spans="1:12">
      <c r="A194" t="s">
        <v>528</v>
      </c>
      <c r="B194">
        <v>0.3</v>
      </c>
      <c r="C194">
        <v>256</v>
      </c>
      <c r="D194" s="1" t="b">
        <v>1</v>
      </c>
      <c r="E194" t="s">
        <v>548</v>
      </c>
      <c r="F194" t="s">
        <v>532</v>
      </c>
      <c r="G194" t="s">
        <v>4</v>
      </c>
      <c r="H194" s="11">
        <v>287</v>
      </c>
      <c r="I194" s="18">
        <v>0.7601</v>
      </c>
      <c r="J194" s="18">
        <v>0.77380000000000004</v>
      </c>
      <c r="K194" s="18">
        <v>1.8070999999999999</v>
      </c>
      <c r="L194" s="18">
        <v>0.54</v>
      </c>
    </row>
    <row r="195" spans="1:12">
      <c r="A195" t="s">
        <v>556</v>
      </c>
      <c r="B195">
        <v>0.1</v>
      </c>
      <c r="C195">
        <v>128</v>
      </c>
      <c r="D195" t="b">
        <v>0</v>
      </c>
      <c r="E195" t="s">
        <v>548</v>
      </c>
      <c r="F195" t="s">
        <v>532</v>
      </c>
      <c r="G195" t="s">
        <v>5</v>
      </c>
      <c r="H195">
        <v>58</v>
      </c>
      <c r="I195">
        <v>0.44590000000000002</v>
      </c>
      <c r="J195">
        <v>0.871</v>
      </c>
      <c r="K195">
        <v>1.9512</v>
      </c>
      <c r="L195">
        <v>0.54</v>
      </c>
    </row>
    <row r="196" spans="1:12">
      <c r="A196" t="s">
        <v>528</v>
      </c>
      <c r="B196">
        <v>0.5</v>
      </c>
      <c r="C196">
        <v>256</v>
      </c>
      <c r="D196" s="1" t="b">
        <v>0</v>
      </c>
      <c r="E196" t="s">
        <v>548</v>
      </c>
      <c r="F196" t="s">
        <v>531</v>
      </c>
      <c r="G196" t="s">
        <v>5</v>
      </c>
      <c r="H196" s="11">
        <v>142</v>
      </c>
      <c r="I196" s="18">
        <v>0.30719999999999997</v>
      </c>
      <c r="J196" s="18">
        <v>0.91049999999999998</v>
      </c>
      <c r="K196" s="18">
        <v>2.0409999999999999</v>
      </c>
      <c r="L196" s="18">
        <v>0.54</v>
      </c>
    </row>
    <row r="197" spans="1:12">
      <c r="A197" t="s">
        <v>528</v>
      </c>
      <c r="B197">
        <v>0.5</v>
      </c>
      <c r="C197">
        <v>128</v>
      </c>
      <c r="D197" s="1" t="b">
        <v>1</v>
      </c>
      <c r="E197" t="s">
        <v>548</v>
      </c>
      <c r="F197" t="s">
        <v>532</v>
      </c>
      <c r="G197" t="s">
        <v>1</v>
      </c>
      <c r="H197" s="11">
        <v>141</v>
      </c>
      <c r="I197" s="18">
        <v>1.1132</v>
      </c>
      <c r="J197" s="18">
        <v>0.6663</v>
      </c>
      <c r="K197" s="18">
        <v>1.6788000000000001</v>
      </c>
      <c r="L197" s="18">
        <v>0.53949999999999998</v>
      </c>
    </row>
    <row r="198" spans="1:12">
      <c r="A198" t="s">
        <v>528</v>
      </c>
      <c r="B198">
        <v>0.5</v>
      </c>
      <c r="C198">
        <v>256</v>
      </c>
      <c r="D198" s="1" t="b">
        <v>0</v>
      </c>
      <c r="E198" t="s">
        <v>548</v>
      </c>
      <c r="F198" t="s">
        <v>532</v>
      </c>
      <c r="G198" t="s">
        <v>3</v>
      </c>
      <c r="H198" s="11">
        <v>139</v>
      </c>
      <c r="I198" s="18">
        <v>1.0162</v>
      </c>
      <c r="J198" s="18">
        <v>0.70199999999999996</v>
      </c>
      <c r="K198" s="18">
        <v>1.7031000000000001</v>
      </c>
      <c r="L198" s="18">
        <v>0.53949999999999998</v>
      </c>
    </row>
    <row r="199" spans="1:12">
      <c r="A199" t="s">
        <v>528</v>
      </c>
      <c r="B199">
        <v>0.5</v>
      </c>
      <c r="C199">
        <v>256</v>
      </c>
      <c r="D199" s="1" t="b">
        <v>0</v>
      </c>
      <c r="E199" t="s">
        <v>547</v>
      </c>
      <c r="F199" t="s">
        <v>532</v>
      </c>
      <c r="G199" t="s">
        <v>1</v>
      </c>
      <c r="H199" s="11">
        <v>174</v>
      </c>
      <c r="I199" s="18">
        <v>1.3842000000000001</v>
      </c>
      <c r="J199" s="18">
        <v>0.58340000000000003</v>
      </c>
      <c r="K199" s="18">
        <v>1.7192000000000001</v>
      </c>
      <c r="L199" s="18">
        <v>0.53949999999999998</v>
      </c>
    </row>
    <row r="200" spans="1:12">
      <c r="A200" t="s">
        <v>556</v>
      </c>
      <c r="B200">
        <v>0.5</v>
      </c>
      <c r="C200">
        <v>64</v>
      </c>
      <c r="D200" t="b">
        <v>0</v>
      </c>
      <c r="E200" t="s">
        <v>548</v>
      </c>
      <c r="F200" t="s">
        <v>532</v>
      </c>
      <c r="G200" t="s">
        <v>1</v>
      </c>
      <c r="H200">
        <v>36</v>
      </c>
      <c r="I200">
        <v>1.0891999999999999</v>
      </c>
      <c r="J200">
        <v>0.67349999999999999</v>
      </c>
      <c r="K200">
        <v>1.7249000000000001</v>
      </c>
      <c r="L200">
        <v>0.53949999999999998</v>
      </c>
    </row>
    <row r="201" spans="1:12">
      <c r="A201" t="s">
        <v>556</v>
      </c>
      <c r="B201">
        <v>0.3</v>
      </c>
      <c r="C201">
        <v>256</v>
      </c>
      <c r="D201" t="b">
        <v>0</v>
      </c>
      <c r="E201" t="s">
        <v>548</v>
      </c>
      <c r="F201" t="s">
        <v>532</v>
      </c>
      <c r="G201" t="s">
        <v>0</v>
      </c>
      <c r="H201">
        <v>115</v>
      </c>
      <c r="I201">
        <v>0.84509999999999996</v>
      </c>
      <c r="J201">
        <v>0.74760000000000004</v>
      </c>
      <c r="K201">
        <v>1.7364999999999999</v>
      </c>
      <c r="L201">
        <v>0.53949999999999998</v>
      </c>
    </row>
    <row r="202" spans="1:12">
      <c r="A202" t="s">
        <v>528</v>
      </c>
      <c r="B202">
        <v>0.3</v>
      </c>
      <c r="C202">
        <v>256</v>
      </c>
      <c r="D202" s="1" t="b">
        <v>1</v>
      </c>
      <c r="E202" t="s">
        <v>548</v>
      </c>
      <c r="F202" t="s">
        <v>532</v>
      </c>
      <c r="G202" t="s">
        <v>3</v>
      </c>
      <c r="H202" s="11">
        <v>286</v>
      </c>
      <c r="I202" s="18">
        <v>0.8417</v>
      </c>
      <c r="J202" s="18">
        <v>0.74209999999999998</v>
      </c>
      <c r="K202" s="18">
        <v>1.7591000000000001</v>
      </c>
      <c r="L202" s="18">
        <v>0.53949999999999998</v>
      </c>
    </row>
    <row r="203" spans="1:12">
      <c r="A203" t="s">
        <v>528</v>
      </c>
      <c r="B203">
        <v>0.5</v>
      </c>
      <c r="C203">
        <v>64</v>
      </c>
      <c r="D203" s="1" t="b">
        <v>0</v>
      </c>
      <c r="E203" t="s">
        <v>548</v>
      </c>
      <c r="F203" t="s">
        <v>531</v>
      </c>
      <c r="G203" t="s">
        <v>3</v>
      </c>
      <c r="H203" s="11">
        <v>51</v>
      </c>
      <c r="I203" s="18">
        <v>0.36099999999999999</v>
      </c>
      <c r="J203" s="18">
        <v>0.89739999999999998</v>
      </c>
      <c r="K203" s="18">
        <v>2.1248</v>
      </c>
      <c r="L203" s="18">
        <v>0.53949999999999998</v>
      </c>
    </row>
    <row r="204" spans="1:12">
      <c r="A204" t="s">
        <v>528</v>
      </c>
      <c r="B204">
        <v>0.5</v>
      </c>
      <c r="C204">
        <v>256</v>
      </c>
      <c r="D204" s="1" t="b">
        <v>0</v>
      </c>
      <c r="E204" t="s">
        <v>548</v>
      </c>
      <c r="F204" t="s">
        <v>532</v>
      </c>
      <c r="G204" t="s">
        <v>2</v>
      </c>
      <c r="H204" s="11">
        <v>139</v>
      </c>
      <c r="I204" s="18">
        <v>1.0711999999999999</v>
      </c>
      <c r="J204" s="18">
        <v>0.67810000000000004</v>
      </c>
      <c r="K204" s="18">
        <v>1.6083000000000001</v>
      </c>
      <c r="L204" s="18">
        <v>0.53900000000000003</v>
      </c>
    </row>
    <row r="205" spans="1:12">
      <c r="A205" t="s">
        <v>556</v>
      </c>
      <c r="B205">
        <v>0.5</v>
      </c>
      <c r="C205">
        <v>64</v>
      </c>
      <c r="D205" t="b">
        <v>0</v>
      </c>
      <c r="E205" t="s">
        <v>547</v>
      </c>
      <c r="F205" t="s">
        <v>532</v>
      </c>
      <c r="G205" t="s">
        <v>2</v>
      </c>
      <c r="H205">
        <v>40</v>
      </c>
      <c r="I205">
        <v>1.2408999999999999</v>
      </c>
      <c r="J205">
        <v>0.63160000000000005</v>
      </c>
      <c r="K205">
        <v>1.7119</v>
      </c>
      <c r="L205">
        <v>0.53900000000000003</v>
      </c>
    </row>
    <row r="206" spans="1:12">
      <c r="A206" t="s">
        <v>528</v>
      </c>
      <c r="B206">
        <v>0.3</v>
      </c>
      <c r="C206">
        <v>128</v>
      </c>
      <c r="D206" s="1" t="b">
        <v>0</v>
      </c>
      <c r="E206" t="s">
        <v>547</v>
      </c>
      <c r="F206" t="s">
        <v>532</v>
      </c>
      <c r="G206" t="s">
        <v>2</v>
      </c>
      <c r="H206" s="11">
        <v>70</v>
      </c>
      <c r="I206" s="18">
        <v>1.2178</v>
      </c>
      <c r="J206" s="18">
        <v>0.63819999999999999</v>
      </c>
      <c r="K206" s="18">
        <v>1.7279</v>
      </c>
      <c r="L206" s="18">
        <v>0.53900000000000003</v>
      </c>
    </row>
    <row r="207" spans="1:12">
      <c r="A207" t="s">
        <v>528</v>
      </c>
      <c r="B207">
        <v>0.1</v>
      </c>
      <c r="C207">
        <v>64</v>
      </c>
      <c r="D207" s="1" t="b">
        <v>0</v>
      </c>
      <c r="E207" t="s">
        <v>547</v>
      </c>
      <c r="F207" t="s">
        <v>532</v>
      </c>
      <c r="G207" t="s">
        <v>2</v>
      </c>
      <c r="H207" s="11">
        <v>42</v>
      </c>
      <c r="I207" s="18">
        <v>1.1747000000000001</v>
      </c>
      <c r="J207" s="18">
        <v>0.66239999999999999</v>
      </c>
      <c r="K207" s="18">
        <v>1.7428999999999999</v>
      </c>
      <c r="L207" s="18">
        <v>0.53900000000000003</v>
      </c>
    </row>
    <row r="208" spans="1:12">
      <c r="A208" t="s">
        <v>528</v>
      </c>
      <c r="B208">
        <v>0.5</v>
      </c>
      <c r="C208">
        <v>256</v>
      </c>
      <c r="D208" s="1" t="b">
        <v>1</v>
      </c>
      <c r="E208" t="s">
        <v>548</v>
      </c>
      <c r="F208" t="s">
        <v>532</v>
      </c>
      <c r="G208" t="s">
        <v>5</v>
      </c>
      <c r="H208" s="11">
        <v>286</v>
      </c>
      <c r="I208" s="18">
        <v>0.90659999999999996</v>
      </c>
      <c r="J208" s="18">
        <v>0.72940000000000005</v>
      </c>
      <c r="K208" s="18">
        <v>1.7818000000000001</v>
      </c>
      <c r="L208" s="18">
        <v>0.53900000000000003</v>
      </c>
    </row>
    <row r="209" spans="1:12">
      <c r="A209" t="s">
        <v>528</v>
      </c>
      <c r="B209">
        <v>0.3</v>
      </c>
      <c r="C209">
        <v>64</v>
      </c>
      <c r="D209" s="1" t="b">
        <v>1</v>
      </c>
      <c r="E209" t="s">
        <v>548</v>
      </c>
      <c r="F209" t="s">
        <v>532</v>
      </c>
      <c r="G209" t="s">
        <v>4</v>
      </c>
      <c r="H209" s="11">
        <v>73</v>
      </c>
      <c r="I209" s="18">
        <v>0.73740000000000006</v>
      </c>
      <c r="J209" s="18">
        <v>0.78349999999999997</v>
      </c>
      <c r="K209" s="18">
        <v>1.8317000000000001</v>
      </c>
      <c r="L209" s="18">
        <v>0.53900000000000003</v>
      </c>
    </row>
    <row r="210" spans="1:12">
      <c r="A210" t="s">
        <v>528</v>
      </c>
      <c r="B210">
        <v>0.5</v>
      </c>
      <c r="C210">
        <v>128</v>
      </c>
      <c r="D210" s="1" t="b">
        <v>0</v>
      </c>
      <c r="E210" t="s">
        <v>547</v>
      </c>
      <c r="F210" t="s">
        <v>531</v>
      </c>
      <c r="G210" t="s">
        <v>5</v>
      </c>
      <c r="H210" s="11">
        <v>76</v>
      </c>
      <c r="I210" s="18">
        <v>0.38040000000000002</v>
      </c>
      <c r="J210" s="18">
        <v>0.88959999999999995</v>
      </c>
      <c r="K210" s="18">
        <v>2.08</v>
      </c>
      <c r="L210" s="18">
        <v>0.53900000000000003</v>
      </c>
    </row>
    <row r="211" spans="1:12">
      <c r="A211" t="s">
        <v>528</v>
      </c>
      <c r="B211">
        <v>0.3</v>
      </c>
      <c r="C211">
        <v>256</v>
      </c>
      <c r="D211" s="1" t="b">
        <v>1</v>
      </c>
      <c r="E211" t="s">
        <v>547</v>
      </c>
      <c r="F211" t="s">
        <v>532</v>
      </c>
      <c r="G211" t="s">
        <v>4</v>
      </c>
      <c r="H211" s="11">
        <v>312</v>
      </c>
      <c r="I211" s="18">
        <v>0.93740000000000001</v>
      </c>
      <c r="J211" s="18">
        <v>0.72089999999999999</v>
      </c>
      <c r="K211" s="18">
        <v>1.7787999999999999</v>
      </c>
      <c r="L211" s="18">
        <v>0.53849999999999998</v>
      </c>
    </row>
    <row r="212" spans="1:12">
      <c r="A212" t="s">
        <v>528</v>
      </c>
      <c r="B212">
        <v>0.3</v>
      </c>
      <c r="C212">
        <v>64</v>
      </c>
      <c r="D212" s="1" t="b">
        <v>1</v>
      </c>
      <c r="E212" t="s">
        <v>548</v>
      </c>
      <c r="F212" t="s">
        <v>532</v>
      </c>
      <c r="G212" t="s">
        <v>2</v>
      </c>
      <c r="H212" s="11">
        <v>72</v>
      </c>
      <c r="I212" s="18">
        <v>0.83750000000000002</v>
      </c>
      <c r="J212" s="18">
        <v>0.75590000000000002</v>
      </c>
      <c r="K212" s="18">
        <v>1.7928999999999999</v>
      </c>
      <c r="L212" s="18">
        <v>0.53849999999999998</v>
      </c>
    </row>
    <row r="213" spans="1:12">
      <c r="A213" t="s">
        <v>556</v>
      </c>
      <c r="B213">
        <v>0.3</v>
      </c>
      <c r="C213">
        <v>256</v>
      </c>
      <c r="D213" t="b">
        <v>0</v>
      </c>
      <c r="E213" t="s">
        <v>548</v>
      </c>
      <c r="F213" t="s">
        <v>531</v>
      </c>
      <c r="G213" t="s">
        <v>1</v>
      </c>
      <c r="H213">
        <v>112</v>
      </c>
      <c r="I213">
        <v>0.24529999999999999</v>
      </c>
      <c r="J213">
        <v>0.92310000000000003</v>
      </c>
      <c r="K213">
        <v>2.0133000000000001</v>
      </c>
      <c r="L213">
        <v>0.53849999999999998</v>
      </c>
    </row>
    <row r="214" spans="1:12">
      <c r="A214" t="s">
        <v>556</v>
      </c>
      <c r="B214">
        <v>0.3</v>
      </c>
      <c r="C214">
        <v>256</v>
      </c>
      <c r="D214" t="b">
        <v>0</v>
      </c>
      <c r="E214" t="s">
        <v>548</v>
      </c>
      <c r="F214" t="s">
        <v>531</v>
      </c>
      <c r="G214" t="s">
        <v>0</v>
      </c>
      <c r="H214">
        <v>113</v>
      </c>
      <c r="I214">
        <v>0.29409999999999997</v>
      </c>
      <c r="J214">
        <v>0.91390000000000005</v>
      </c>
      <c r="K214">
        <v>2.028</v>
      </c>
      <c r="L214">
        <v>0.53849999999999998</v>
      </c>
    </row>
    <row r="215" spans="1:12">
      <c r="A215" t="s">
        <v>528</v>
      </c>
      <c r="B215">
        <v>0.3</v>
      </c>
      <c r="C215">
        <v>64</v>
      </c>
      <c r="D215" s="1" t="b">
        <v>0</v>
      </c>
      <c r="E215" t="s">
        <v>547</v>
      </c>
      <c r="F215" t="s">
        <v>532</v>
      </c>
      <c r="G215" t="s">
        <v>2</v>
      </c>
      <c r="H215" s="11">
        <v>42</v>
      </c>
      <c r="I215" s="18">
        <v>1.3197000000000001</v>
      </c>
      <c r="J215" s="18">
        <v>0.60550000000000004</v>
      </c>
      <c r="K215" s="18">
        <v>1.7235</v>
      </c>
      <c r="L215" s="18">
        <v>0.53800000000000003</v>
      </c>
    </row>
    <row r="216" spans="1:12">
      <c r="A216" t="s">
        <v>528</v>
      </c>
      <c r="B216">
        <v>0.5</v>
      </c>
      <c r="C216">
        <v>128</v>
      </c>
      <c r="D216" s="1" t="b">
        <v>1</v>
      </c>
      <c r="E216" t="s">
        <v>547</v>
      </c>
      <c r="F216" t="s">
        <v>532</v>
      </c>
      <c r="G216" t="s">
        <v>5</v>
      </c>
      <c r="H216" s="11">
        <v>141</v>
      </c>
      <c r="I216" s="18">
        <v>1.1271</v>
      </c>
      <c r="J216" s="18">
        <v>0.6673</v>
      </c>
      <c r="K216" s="18">
        <v>1.7294</v>
      </c>
      <c r="L216" s="18">
        <v>0.53800000000000003</v>
      </c>
    </row>
    <row r="217" spans="1:12">
      <c r="A217" t="s">
        <v>528</v>
      </c>
      <c r="B217">
        <v>0.1</v>
      </c>
      <c r="C217">
        <v>256</v>
      </c>
      <c r="D217" s="1" t="b">
        <v>0</v>
      </c>
      <c r="E217" t="s">
        <v>548</v>
      </c>
      <c r="F217" t="s">
        <v>532</v>
      </c>
      <c r="G217" t="s">
        <v>3</v>
      </c>
      <c r="H217" s="11">
        <v>142</v>
      </c>
      <c r="I217" s="18">
        <v>0.76400000000000001</v>
      </c>
      <c r="J217" s="18">
        <v>0.77210000000000001</v>
      </c>
      <c r="K217" s="18">
        <v>1.7421</v>
      </c>
      <c r="L217" s="18">
        <v>0.53800000000000003</v>
      </c>
    </row>
    <row r="218" spans="1:12">
      <c r="A218" t="s">
        <v>528</v>
      </c>
      <c r="B218">
        <v>0.3</v>
      </c>
      <c r="C218">
        <v>64</v>
      </c>
      <c r="D218" s="1" t="b">
        <v>1</v>
      </c>
      <c r="E218" t="s">
        <v>548</v>
      </c>
      <c r="F218" t="s">
        <v>532</v>
      </c>
      <c r="G218" t="s">
        <v>5</v>
      </c>
      <c r="H218" s="11">
        <v>73</v>
      </c>
      <c r="I218" s="18">
        <v>0.69320000000000004</v>
      </c>
      <c r="J218" s="18">
        <v>0.79930000000000001</v>
      </c>
      <c r="K218" s="18">
        <v>1.8846000000000001</v>
      </c>
      <c r="L218" s="18">
        <v>0.53800000000000003</v>
      </c>
    </row>
    <row r="219" spans="1:12">
      <c r="A219" t="s">
        <v>528</v>
      </c>
      <c r="B219">
        <v>0.5</v>
      </c>
      <c r="C219">
        <v>256</v>
      </c>
      <c r="D219" s="1" t="b">
        <v>1</v>
      </c>
      <c r="E219" t="s">
        <v>547</v>
      </c>
      <c r="F219" t="s">
        <v>531</v>
      </c>
      <c r="G219" t="s">
        <v>5</v>
      </c>
      <c r="H219" s="11">
        <v>295</v>
      </c>
      <c r="I219" s="18">
        <v>0.48830000000000001</v>
      </c>
      <c r="J219" s="18">
        <v>0.85680000000000001</v>
      </c>
      <c r="K219" s="18">
        <v>1.9578</v>
      </c>
      <c r="L219" s="18">
        <v>0.53800000000000003</v>
      </c>
    </row>
    <row r="220" spans="1:12">
      <c r="A220" t="s">
        <v>528</v>
      </c>
      <c r="B220">
        <v>0.3</v>
      </c>
      <c r="C220">
        <v>256</v>
      </c>
      <c r="D220" s="1" t="b">
        <v>0</v>
      </c>
      <c r="E220" t="s">
        <v>547</v>
      </c>
      <c r="F220" t="s">
        <v>531</v>
      </c>
      <c r="G220" t="s">
        <v>0</v>
      </c>
      <c r="H220" s="11">
        <v>147</v>
      </c>
      <c r="I220" s="18">
        <v>0.46150000000000002</v>
      </c>
      <c r="J220" s="18">
        <v>0.86699999999999999</v>
      </c>
      <c r="K220" s="18">
        <v>1.982</v>
      </c>
      <c r="L220" s="18">
        <v>0.53800000000000003</v>
      </c>
    </row>
    <row r="221" spans="1:12">
      <c r="A221" t="s">
        <v>528</v>
      </c>
      <c r="B221">
        <v>0.5</v>
      </c>
      <c r="C221">
        <v>256</v>
      </c>
      <c r="D221" s="1" t="b">
        <v>0</v>
      </c>
      <c r="E221" t="s">
        <v>547</v>
      </c>
      <c r="F221" t="s">
        <v>532</v>
      </c>
      <c r="G221" t="s">
        <v>2</v>
      </c>
      <c r="H221" s="11">
        <v>174</v>
      </c>
      <c r="I221" s="18">
        <v>1.3079000000000001</v>
      </c>
      <c r="J221" s="18">
        <v>0.60460000000000003</v>
      </c>
      <c r="K221" s="18">
        <v>1.7229000000000001</v>
      </c>
      <c r="L221" s="18">
        <v>0.53749999999999998</v>
      </c>
    </row>
    <row r="222" spans="1:12">
      <c r="A222" t="s">
        <v>556</v>
      </c>
      <c r="B222">
        <v>0.1</v>
      </c>
      <c r="C222">
        <v>64</v>
      </c>
      <c r="D222" t="b">
        <v>0</v>
      </c>
      <c r="E222" t="s">
        <v>547</v>
      </c>
      <c r="F222" t="s">
        <v>532</v>
      </c>
      <c r="G222" t="s">
        <v>2</v>
      </c>
      <c r="H222">
        <v>33</v>
      </c>
      <c r="I222">
        <v>0.9677</v>
      </c>
      <c r="J222">
        <v>0.71609999999999996</v>
      </c>
      <c r="K222">
        <v>1.7269000000000001</v>
      </c>
      <c r="L222">
        <v>0.53749999999999998</v>
      </c>
    </row>
    <row r="223" spans="1:12">
      <c r="A223" t="s">
        <v>528</v>
      </c>
      <c r="B223">
        <v>0.5</v>
      </c>
      <c r="C223">
        <v>128</v>
      </c>
      <c r="D223" s="1" t="b">
        <v>1</v>
      </c>
      <c r="E223" t="s">
        <v>547</v>
      </c>
      <c r="F223" t="s">
        <v>532</v>
      </c>
      <c r="G223" t="s">
        <v>3</v>
      </c>
      <c r="H223" s="11">
        <v>141</v>
      </c>
      <c r="I223" s="18">
        <v>1.2302999999999999</v>
      </c>
      <c r="J223" s="18">
        <v>0.63090000000000002</v>
      </c>
      <c r="K223" s="18">
        <v>1.7662</v>
      </c>
      <c r="L223" s="18">
        <v>0.53749999999999998</v>
      </c>
    </row>
    <row r="224" spans="1:12">
      <c r="A224" t="s">
        <v>556</v>
      </c>
      <c r="B224">
        <v>0.5</v>
      </c>
      <c r="C224">
        <v>128</v>
      </c>
      <c r="D224" t="b">
        <v>0</v>
      </c>
      <c r="E224" t="s">
        <v>547</v>
      </c>
      <c r="F224" t="s">
        <v>531</v>
      </c>
      <c r="G224" t="s">
        <v>1</v>
      </c>
      <c r="H224">
        <v>61</v>
      </c>
      <c r="I224">
        <v>0.46800000000000003</v>
      </c>
      <c r="J224">
        <v>0.8629</v>
      </c>
      <c r="K224">
        <v>1.8262</v>
      </c>
      <c r="L224">
        <v>0.53749999999999998</v>
      </c>
    </row>
    <row r="225" spans="1:12">
      <c r="A225" t="s">
        <v>528</v>
      </c>
      <c r="B225">
        <v>0.1</v>
      </c>
      <c r="C225">
        <v>64</v>
      </c>
      <c r="D225" s="1" t="b">
        <v>0</v>
      </c>
      <c r="E225" t="s">
        <v>548</v>
      </c>
      <c r="F225" t="s">
        <v>532</v>
      </c>
      <c r="G225" t="s">
        <v>5</v>
      </c>
      <c r="H225" s="11">
        <v>48</v>
      </c>
      <c r="I225" s="18">
        <v>0.59470000000000001</v>
      </c>
      <c r="J225" s="18">
        <v>0.82709999999999995</v>
      </c>
      <c r="K225" s="18">
        <v>1.9540999999999999</v>
      </c>
      <c r="L225" s="18">
        <v>0.53749999999999998</v>
      </c>
    </row>
    <row r="226" spans="1:12">
      <c r="A226" t="s">
        <v>528</v>
      </c>
      <c r="B226">
        <v>0.3</v>
      </c>
      <c r="C226">
        <v>256</v>
      </c>
      <c r="D226" s="1" t="b">
        <v>0</v>
      </c>
      <c r="E226" t="s">
        <v>547</v>
      </c>
      <c r="F226" t="s">
        <v>531</v>
      </c>
      <c r="G226" t="s">
        <v>5</v>
      </c>
      <c r="H226" s="11">
        <v>143</v>
      </c>
      <c r="I226" s="18">
        <v>0.25559999999999999</v>
      </c>
      <c r="J226" s="18">
        <v>0.92630000000000001</v>
      </c>
      <c r="K226" s="18">
        <v>2.2025000000000001</v>
      </c>
      <c r="L226" s="18">
        <v>0.53749999999999998</v>
      </c>
    </row>
    <row r="227" spans="1:12">
      <c r="A227" t="s">
        <v>528</v>
      </c>
      <c r="B227">
        <v>0.1</v>
      </c>
      <c r="C227">
        <v>64</v>
      </c>
      <c r="D227" s="1" t="b">
        <v>0</v>
      </c>
      <c r="E227" t="s">
        <v>548</v>
      </c>
      <c r="F227" t="s">
        <v>531</v>
      </c>
      <c r="G227" t="s">
        <v>3</v>
      </c>
      <c r="H227" s="11">
        <v>49</v>
      </c>
      <c r="I227" s="18">
        <v>0.2379</v>
      </c>
      <c r="J227" s="18">
        <v>0.93659999999999999</v>
      </c>
      <c r="K227" s="18">
        <v>2.3650000000000002</v>
      </c>
      <c r="L227" s="18">
        <v>0.53749999999999998</v>
      </c>
    </row>
    <row r="228" spans="1:12">
      <c r="A228" t="s">
        <v>528</v>
      </c>
      <c r="B228">
        <v>0.5</v>
      </c>
      <c r="C228">
        <v>128</v>
      </c>
      <c r="D228" s="1" t="b">
        <v>0</v>
      </c>
      <c r="E228" t="s">
        <v>547</v>
      </c>
      <c r="F228" t="s">
        <v>532</v>
      </c>
      <c r="G228" t="s">
        <v>2</v>
      </c>
      <c r="H228" s="11">
        <v>75</v>
      </c>
      <c r="I228" s="18">
        <v>1.3309</v>
      </c>
      <c r="J228" s="18">
        <v>0.60360000000000003</v>
      </c>
      <c r="K228" s="18">
        <v>1.7232000000000001</v>
      </c>
      <c r="L228" s="18">
        <v>0.53700000000000003</v>
      </c>
    </row>
    <row r="229" spans="1:12">
      <c r="A229" t="s">
        <v>528</v>
      </c>
      <c r="B229">
        <v>0.3</v>
      </c>
      <c r="C229">
        <v>256</v>
      </c>
      <c r="D229" s="1" t="b">
        <v>1</v>
      </c>
      <c r="E229" t="s">
        <v>547</v>
      </c>
      <c r="F229" t="s">
        <v>532</v>
      </c>
      <c r="G229" t="s">
        <v>1</v>
      </c>
      <c r="H229" s="11">
        <v>303</v>
      </c>
      <c r="I229" s="18">
        <v>1.1211</v>
      </c>
      <c r="J229" s="18">
        <v>0.66510000000000002</v>
      </c>
      <c r="K229" s="18">
        <v>1.7332000000000001</v>
      </c>
      <c r="L229" s="18">
        <v>0.53700000000000003</v>
      </c>
    </row>
    <row r="230" spans="1:12">
      <c r="A230" t="s">
        <v>528</v>
      </c>
      <c r="B230">
        <v>0.3</v>
      </c>
      <c r="C230">
        <v>128</v>
      </c>
      <c r="D230" s="1" t="b">
        <v>1</v>
      </c>
      <c r="E230" t="s">
        <v>548</v>
      </c>
      <c r="F230" t="s">
        <v>532</v>
      </c>
      <c r="G230" t="s">
        <v>2</v>
      </c>
      <c r="H230" s="11">
        <v>141</v>
      </c>
      <c r="I230" s="18">
        <v>0.79249999999999998</v>
      </c>
      <c r="J230" s="18">
        <v>0.76790000000000003</v>
      </c>
      <c r="K230" s="18">
        <v>1.7611000000000001</v>
      </c>
      <c r="L230" s="18">
        <v>0.53700000000000003</v>
      </c>
    </row>
    <row r="231" spans="1:12">
      <c r="A231" t="s">
        <v>528</v>
      </c>
      <c r="B231">
        <v>0.3</v>
      </c>
      <c r="C231">
        <v>64</v>
      </c>
      <c r="D231" s="1" t="b">
        <v>0</v>
      </c>
      <c r="E231" t="s">
        <v>548</v>
      </c>
      <c r="F231" t="s">
        <v>532</v>
      </c>
      <c r="G231" t="s">
        <v>2</v>
      </c>
      <c r="H231" s="11">
        <v>41</v>
      </c>
      <c r="I231" s="18">
        <v>0.87180000000000002</v>
      </c>
      <c r="J231" s="18">
        <v>0.75260000000000005</v>
      </c>
      <c r="K231" s="18">
        <v>1.7641</v>
      </c>
      <c r="L231" s="18">
        <v>0.53700000000000003</v>
      </c>
    </row>
    <row r="232" spans="1:12">
      <c r="A232" t="s">
        <v>556</v>
      </c>
      <c r="B232">
        <v>0.3</v>
      </c>
      <c r="C232">
        <v>128</v>
      </c>
      <c r="D232" t="b">
        <v>0</v>
      </c>
      <c r="E232" t="s">
        <v>548</v>
      </c>
      <c r="F232" t="s">
        <v>532</v>
      </c>
      <c r="G232" t="s">
        <v>5</v>
      </c>
      <c r="H232">
        <v>58</v>
      </c>
      <c r="I232">
        <v>0.55120000000000002</v>
      </c>
      <c r="J232">
        <v>0.83250000000000002</v>
      </c>
      <c r="K232">
        <v>1.88</v>
      </c>
      <c r="L232">
        <v>0.53700000000000003</v>
      </c>
    </row>
    <row r="233" spans="1:12">
      <c r="A233" t="s">
        <v>528</v>
      </c>
      <c r="B233">
        <v>0.1</v>
      </c>
      <c r="C233">
        <v>128</v>
      </c>
      <c r="D233" s="1" t="b">
        <v>0</v>
      </c>
      <c r="E233" t="s">
        <v>547</v>
      </c>
      <c r="F233" t="s">
        <v>531</v>
      </c>
      <c r="G233" t="s">
        <v>1</v>
      </c>
      <c r="H233" s="11">
        <v>92</v>
      </c>
      <c r="I233" s="18">
        <v>0.35680000000000001</v>
      </c>
      <c r="J233" s="18">
        <v>0.89839999999999998</v>
      </c>
      <c r="K233" s="18">
        <v>2.1859000000000002</v>
      </c>
      <c r="L233" s="18">
        <v>0.53700000000000003</v>
      </c>
    </row>
    <row r="234" spans="1:12">
      <c r="A234" t="s">
        <v>528</v>
      </c>
      <c r="B234">
        <v>0.3</v>
      </c>
      <c r="C234">
        <v>256</v>
      </c>
      <c r="D234" s="1" t="b">
        <v>0</v>
      </c>
      <c r="E234" t="s">
        <v>548</v>
      </c>
      <c r="F234" t="s">
        <v>532</v>
      </c>
      <c r="G234" t="s">
        <v>0</v>
      </c>
      <c r="H234" s="11">
        <v>140</v>
      </c>
      <c r="I234" s="18">
        <v>1.0765</v>
      </c>
      <c r="J234" s="18">
        <v>0.67849999999999999</v>
      </c>
      <c r="K234" s="18">
        <v>1.6840999999999999</v>
      </c>
      <c r="L234" s="18">
        <v>0.53600000000000003</v>
      </c>
    </row>
    <row r="235" spans="1:12">
      <c r="A235" t="s">
        <v>528</v>
      </c>
      <c r="B235">
        <v>0.3</v>
      </c>
      <c r="C235">
        <v>256</v>
      </c>
      <c r="D235" s="1" t="b">
        <v>1</v>
      </c>
      <c r="E235" t="s">
        <v>548</v>
      </c>
      <c r="F235" t="s">
        <v>532</v>
      </c>
      <c r="G235" t="s">
        <v>1</v>
      </c>
      <c r="H235" s="11">
        <v>286</v>
      </c>
      <c r="I235" s="18">
        <v>0.97060000000000002</v>
      </c>
      <c r="J235" s="18">
        <v>0.70920000000000005</v>
      </c>
      <c r="K235" s="18">
        <v>1.6913</v>
      </c>
      <c r="L235" s="18">
        <v>0.53600000000000003</v>
      </c>
    </row>
    <row r="236" spans="1:12">
      <c r="A236" t="s">
        <v>528</v>
      </c>
      <c r="B236">
        <v>0.5</v>
      </c>
      <c r="C236">
        <v>256</v>
      </c>
      <c r="D236" s="1" t="b">
        <v>1</v>
      </c>
      <c r="E236" t="s">
        <v>548</v>
      </c>
      <c r="F236" t="s">
        <v>532</v>
      </c>
      <c r="G236" t="s">
        <v>1</v>
      </c>
      <c r="H236" s="11">
        <v>284</v>
      </c>
      <c r="I236" s="18">
        <v>1.0914999999999999</v>
      </c>
      <c r="J236" s="18">
        <v>0.68130000000000002</v>
      </c>
      <c r="K236" s="18">
        <v>1.7285999999999999</v>
      </c>
      <c r="L236" s="18">
        <v>0.53600000000000003</v>
      </c>
    </row>
    <row r="237" spans="1:12">
      <c r="A237" t="s">
        <v>528</v>
      </c>
      <c r="B237">
        <v>0.5</v>
      </c>
      <c r="C237">
        <v>256</v>
      </c>
      <c r="D237" s="1" t="b">
        <v>1</v>
      </c>
      <c r="E237" t="s">
        <v>548</v>
      </c>
      <c r="F237" t="s">
        <v>532</v>
      </c>
      <c r="G237" t="s">
        <v>3</v>
      </c>
      <c r="H237" s="11">
        <v>285</v>
      </c>
      <c r="I237" s="18">
        <v>0.99160000000000004</v>
      </c>
      <c r="J237" s="18">
        <v>0.70530000000000004</v>
      </c>
      <c r="K237" s="18">
        <v>1.7495000000000001</v>
      </c>
      <c r="L237" s="18">
        <v>0.53600000000000003</v>
      </c>
    </row>
    <row r="238" spans="1:12">
      <c r="A238" t="s">
        <v>528</v>
      </c>
      <c r="B238">
        <v>0.1</v>
      </c>
      <c r="C238">
        <v>64</v>
      </c>
      <c r="D238" s="1" t="b">
        <v>1</v>
      </c>
      <c r="E238" t="s">
        <v>547</v>
      </c>
      <c r="F238" t="s">
        <v>532</v>
      </c>
      <c r="G238" t="s">
        <v>1</v>
      </c>
      <c r="H238" s="11">
        <v>85</v>
      </c>
      <c r="I238" s="18">
        <v>1.1149</v>
      </c>
      <c r="J238" s="18">
        <v>0.67589999999999995</v>
      </c>
      <c r="K238" s="18">
        <v>1.7987</v>
      </c>
      <c r="L238" s="18">
        <v>0.53600000000000003</v>
      </c>
    </row>
    <row r="239" spans="1:12">
      <c r="A239" t="s">
        <v>528</v>
      </c>
      <c r="B239">
        <v>0.1</v>
      </c>
      <c r="C239">
        <v>256</v>
      </c>
      <c r="D239" s="1" t="b">
        <v>0</v>
      </c>
      <c r="E239" t="s">
        <v>548</v>
      </c>
      <c r="F239" t="s">
        <v>532</v>
      </c>
      <c r="G239" t="s">
        <v>5</v>
      </c>
      <c r="H239" s="11">
        <v>144</v>
      </c>
      <c r="I239" s="18">
        <v>0.63929999999999998</v>
      </c>
      <c r="J239" s="18">
        <v>0.81169999999999998</v>
      </c>
      <c r="K239" s="18">
        <v>1.8831</v>
      </c>
      <c r="L239" s="18">
        <v>0.53600000000000003</v>
      </c>
    </row>
    <row r="240" spans="1:12">
      <c r="A240" t="s">
        <v>528</v>
      </c>
      <c r="B240">
        <v>0.5</v>
      </c>
      <c r="C240">
        <v>128</v>
      </c>
      <c r="D240" s="1" t="b">
        <v>0</v>
      </c>
      <c r="E240" t="s">
        <v>547</v>
      </c>
      <c r="F240" t="s">
        <v>531</v>
      </c>
      <c r="G240" t="s">
        <v>1</v>
      </c>
      <c r="H240" s="11">
        <v>76</v>
      </c>
      <c r="I240" s="18">
        <v>0.55820000000000003</v>
      </c>
      <c r="J240" s="18">
        <v>0.83919999999999995</v>
      </c>
      <c r="K240" s="18">
        <v>1.9345000000000001</v>
      </c>
      <c r="L240" s="18">
        <v>0.53600000000000003</v>
      </c>
    </row>
    <row r="241" spans="1:12">
      <c r="A241" t="s">
        <v>528</v>
      </c>
      <c r="B241">
        <v>0.5</v>
      </c>
      <c r="C241">
        <v>256</v>
      </c>
      <c r="D241" s="1" t="b">
        <v>0</v>
      </c>
      <c r="E241" t="s">
        <v>547</v>
      </c>
      <c r="F241" t="s">
        <v>531</v>
      </c>
      <c r="G241" t="s">
        <v>4</v>
      </c>
      <c r="H241" s="11">
        <v>145</v>
      </c>
      <c r="I241" s="18">
        <v>0.40160000000000001</v>
      </c>
      <c r="J241" s="18">
        <v>0.88100000000000001</v>
      </c>
      <c r="K241" s="18">
        <v>1.9785999999999999</v>
      </c>
      <c r="L241" s="18">
        <v>0.53600000000000003</v>
      </c>
    </row>
    <row r="242" spans="1:12">
      <c r="A242" t="s">
        <v>556</v>
      </c>
      <c r="B242">
        <v>0.3</v>
      </c>
      <c r="C242">
        <v>256</v>
      </c>
      <c r="D242" t="b">
        <v>0</v>
      </c>
      <c r="E242" t="s">
        <v>547</v>
      </c>
      <c r="F242" t="s">
        <v>531</v>
      </c>
      <c r="G242" t="s">
        <v>4</v>
      </c>
      <c r="H242">
        <v>123</v>
      </c>
      <c r="I242">
        <v>0.21659999999999999</v>
      </c>
      <c r="J242">
        <v>0.93810000000000004</v>
      </c>
      <c r="K242">
        <v>2.1356000000000002</v>
      </c>
      <c r="L242">
        <v>0.53600000000000003</v>
      </c>
    </row>
    <row r="243" spans="1:12">
      <c r="A243" t="s">
        <v>528</v>
      </c>
      <c r="B243">
        <v>0.3</v>
      </c>
      <c r="C243">
        <v>128</v>
      </c>
      <c r="D243" s="1" t="b">
        <v>0</v>
      </c>
      <c r="E243" t="s">
        <v>547</v>
      </c>
      <c r="F243" t="s">
        <v>531</v>
      </c>
      <c r="G243" t="s">
        <v>2</v>
      </c>
      <c r="H243" s="11">
        <v>74</v>
      </c>
      <c r="I243" s="18">
        <v>0.39750000000000002</v>
      </c>
      <c r="J243" s="18">
        <v>0.8881</v>
      </c>
      <c r="K243" s="18">
        <v>2.177</v>
      </c>
      <c r="L243" s="18">
        <v>0.53600000000000003</v>
      </c>
    </row>
    <row r="244" spans="1:12">
      <c r="A244" t="s">
        <v>556</v>
      </c>
      <c r="B244">
        <v>0.1</v>
      </c>
      <c r="C244">
        <v>128</v>
      </c>
      <c r="D244" t="b">
        <v>0</v>
      </c>
      <c r="E244" t="s">
        <v>547</v>
      </c>
      <c r="F244" t="s">
        <v>531</v>
      </c>
      <c r="G244" t="s">
        <v>5</v>
      </c>
      <c r="H244">
        <v>61</v>
      </c>
      <c r="I244">
        <v>0.15770000000000001</v>
      </c>
      <c r="J244">
        <v>0.95599999999999996</v>
      </c>
      <c r="K244">
        <v>2.2534999999999998</v>
      </c>
      <c r="L244">
        <v>0.53600000000000003</v>
      </c>
    </row>
    <row r="245" spans="1:12">
      <c r="A245" t="s">
        <v>556</v>
      </c>
      <c r="B245">
        <v>0.3</v>
      </c>
      <c r="C245">
        <v>256</v>
      </c>
      <c r="D245" t="b">
        <v>0</v>
      </c>
      <c r="E245" t="s">
        <v>547</v>
      </c>
      <c r="F245" t="s">
        <v>531</v>
      </c>
      <c r="G245" t="s">
        <v>0</v>
      </c>
      <c r="H245">
        <v>120</v>
      </c>
      <c r="I245">
        <v>0.34050000000000002</v>
      </c>
      <c r="J245">
        <v>0.90339999999999998</v>
      </c>
      <c r="K245">
        <v>1.9975000000000001</v>
      </c>
      <c r="L245">
        <v>0.53549999999999998</v>
      </c>
    </row>
    <row r="246" spans="1:12">
      <c r="A246" t="s">
        <v>528</v>
      </c>
      <c r="B246">
        <v>0.5</v>
      </c>
      <c r="C246">
        <v>128</v>
      </c>
      <c r="D246" s="1" t="b">
        <v>0</v>
      </c>
      <c r="E246" t="s">
        <v>548</v>
      </c>
      <c r="F246" t="s">
        <v>532</v>
      </c>
      <c r="G246" t="s">
        <v>0</v>
      </c>
      <c r="H246" s="11">
        <v>74</v>
      </c>
      <c r="I246" s="18">
        <v>1.1755</v>
      </c>
      <c r="J246" s="18">
        <v>0.65759999999999996</v>
      </c>
      <c r="K246" s="18">
        <v>1.6766000000000001</v>
      </c>
      <c r="L246" s="18">
        <v>0.53500000000000003</v>
      </c>
    </row>
    <row r="247" spans="1:12">
      <c r="A247" t="s">
        <v>528</v>
      </c>
      <c r="B247">
        <v>0.5</v>
      </c>
      <c r="C247">
        <v>256</v>
      </c>
      <c r="D247" s="1" t="b">
        <v>1</v>
      </c>
      <c r="E247" t="s">
        <v>547</v>
      </c>
      <c r="F247" t="s">
        <v>531</v>
      </c>
      <c r="G247" t="s">
        <v>2</v>
      </c>
      <c r="H247" s="11">
        <v>294</v>
      </c>
      <c r="I247" s="18">
        <v>0.62729999999999997</v>
      </c>
      <c r="J247" s="18">
        <v>0.81330000000000002</v>
      </c>
      <c r="K247" s="18">
        <v>1.8723000000000001</v>
      </c>
      <c r="L247" s="18">
        <v>0.53500000000000003</v>
      </c>
    </row>
    <row r="248" spans="1:12">
      <c r="A248" t="s">
        <v>528</v>
      </c>
      <c r="B248">
        <v>0.5</v>
      </c>
      <c r="C248">
        <v>256</v>
      </c>
      <c r="D248" s="1" t="b">
        <v>1</v>
      </c>
      <c r="E248" t="s">
        <v>548</v>
      </c>
      <c r="F248" t="s">
        <v>531</v>
      </c>
      <c r="G248" t="s">
        <v>1</v>
      </c>
      <c r="H248" s="11">
        <v>279</v>
      </c>
      <c r="I248" s="18">
        <v>0.59489999999999998</v>
      </c>
      <c r="J248" s="18">
        <v>0.82469999999999999</v>
      </c>
      <c r="K248" s="18">
        <v>1.8938999999999999</v>
      </c>
      <c r="L248" s="18">
        <v>0.53500000000000003</v>
      </c>
    </row>
    <row r="249" spans="1:12">
      <c r="A249" t="s">
        <v>556</v>
      </c>
      <c r="B249">
        <v>0.5</v>
      </c>
      <c r="C249">
        <v>256</v>
      </c>
      <c r="D249" t="b">
        <v>0</v>
      </c>
      <c r="E249" t="s">
        <v>548</v>
      </c>
      <c r="F249" t="s">
        <v>531</v>
      </c>
      <c r="G249" t="s">
        <v>1</v>
      </c>
      <c r="H249">
        <v>117</v>
      </c>
      <c r="I249">
        <v>0.34810000000000002</v>
      </c>
      <c r="J249">
        <v>0.89739999999999998</v>
      </c>
      <c r="K249">
        <v>1.9120999999999999</v>
      </c>
      <c r="L249">
        <v>0.53500000000000003</v>
      </c>
    </row>
    <row r="250" spans="1:12">
      <c r="A250" t="s">
        <v>528</v>
      </c>
      <c r="B250">
        <v>0.3</v>
      </c>
      <c r="C250">
        <v>256</v>
      </c>
      <c r="D250" s="1" t="b">
        <v>1</v>
      </c>
      <c r="E250" t="s">
        <v>548</v>
      </c>
      <c r="F250" t="s">
        <v>532</v>
      </c>
      <c r="G250" t="s">
        <v>5</v>
      </c>
      <c r="H250" s="11">
        <v>287</v>
      </c>
      <c r="I250" s="18">
        <v>0.73839999999999995</v>
      </c>
      <c r="J250" s="18">
        <v>0.77510000000000001</v>
      </c>
      <c r="K250" s="18">
        <v>1.7124999999999999</v>
      </c>
      <c r="L250" s="18">
        <v>0.53449999999999998</v>
      </c>
    </row>
    <row r="251" spans="1:12">
      <c r="A251" t="s">
        <v>528</v>
      </c>
      <c r="B251">
        <v>0.3</v>
      </c>
      <c r="C251">
        <v>64</v>
      </c>
      <c r="D251" s="1" t="b">
        <v>1</v>
      </c>
      <c r="E251" t="s">
        <v>547</v>
      </c>
      <c r="F251" t="s">
        <v>532</v>
      </c>
      <c r="G251" t="s">
        <v>3</v>
      </c>
      <c r="H251" s="11">
        <v>72</v>
      </c>
      <c r="I251" s="18">
        <v>1.1347</v>
      </c>
      <c r="J251" s="18">
        <v>0.66390000000000005</v>
      </c>
      <c r="K251" s="18">
        <v>1.8280000000000001</v>
      </c>
      <c r="L251" s="18">
        <v>0.53449999999999998</v>
      </c>
    </row>
    <row r="252" spans="1:12">
      <c r="A252" t="s">
        <v>528</v>
      </c>
      <c r="B252">
        <v>0.1</v>
      </c>
      <c r="C252">
        <v>64</v>
      </c>
      <c r="D252" s="1" t="b">
        <v>1</v>
      </c>
      <c r="E252" t="s">
        <v>547</v>
      </c>
      <c r="F252" t="s">
        <v>532</v>
      </c>
      <c r="G252" t="s">
        <v>3</v>
      </c>
      <c r="H252" s="11">
        <v>85</v>
      </c>
      <c r="I252" s="18">
        <v>0.9798</v>
      </c>
      <c r="J252" s="18">
        <v>0.70989999999999998</v>
      </c>
      <c r="K252" s="18">
        <v>1.8879999999999999</v>
      </c>
      <c r="L252" s="18">
        <v>0.53449999999999998</v>
      </c>
    </row>
    <row r="253" spans="1:12">
      <c r="A253" t="s">
        <v>556</v>
      </c>
      <c r="B253">
        <v>0.5</v>
      </c>
      <c r="C253">
        <v>64</v>
      </c>
      <c r="D253" t="b">
        <v>0</v>
      </c>
      <c r="E253" t="s">
        <v>547</v>
      </c>
      <c r="F253" t="s">
        <v>531</v>
      </c>
      <c r="G253" t="s">
        <v>1</v>
      </c>
      <c r="H253">
        <v>38</v>
      </c>
      <c r="I253">
        <v>0.54869999999999997</v>
      </c>
      <c r="J253">
        <v>0.84450000000000003</v>
      </c>
      <c r="K253">
        <v>1.9007000000000001</v>
      </c>
      <c r="L253">
        <v>0.53449999999999998</v>
      </c>
    </row>
    <row r="254" spans="1:12">
      <c r="A254" t="s">
        <v>528</v>
      </c>
      <c r="B254">
        <v>0.1</v>
      </c>
      <c r="C254">
        <v>256</v>
      </c>
      <c r="D254" s="1" t="b">
        <v>1</v>
      </c>
      <c r="E254" t="s">
        <v>547</v>
      </c>
      <c r="F254" t="s">
        <v>532</v>
      </c>
      <c r="G254" t="s">
        <v>5</v>
      </c>
      <c r="H254" s="11">
        <v>289</v>
      </c>
      <c r="I254" s="18">
        <v>0.78380000000000005</v>
      </c>
      <c r="J254" s="18">
        <v>0.76559999999999995</v>
      </c>
      <c r="K254" s="18">
        <v>1.7874000000000001</v>
      </c>
      <c r="L254" s="18">
        <v>0.53400000000000003</v>
      </c>
    </row>
    <row r="255" spans="1:12">
      <c r="A255" t="s">
        <v>528</v>
      </c>
      <c r="B255">
        <v>0.3</v>
      </c>
      <c r="C255">
        <v>64</v>
      </c>
      <c r="D255" s="1" t="b">
        <v>0</v>
      </c>
      <c r="E255" t="s">
        <v>548</v>
      </c>
      <c r="F255" t="s">
        <v>532</v>
      </c>
      <c r="G255" t="s">
        <v>4</v>
      </c>
      <c r="H255" s="11">
        <v>41</v>
      </c>
      <c r="I255" s="18">
        <v>0.75680000000000003</v>
      </c>
      <c r="J255" s="18">
        <v>0.78810000000000002</v>
      </c>
      <c r="K255" s="18">
        <v>1.8107</v>
      </c>
      <c r="L255" s="18">
        <v>0.53400000000000003</v>
      </c>
    </row>
    <row r="256" spans="1:12">
      <c r="A256" t="s">
        <v>528</v>
      </c>
      <c r="B256">
        <v>0.1</v>
      </c>
      <c r="C256">
        <v>128</v>
      </c>
      <c r="D256" s="1" t="b">
        <v>0</v>
      </c>
      <c r="E256" t="s">
        <v>548</v>
      </c>
      <c r="F256" t="s">
        <v>532</v>
      </c>
      <c r="G256" t="s">
        <v>1</v>
      </c>
      <c r="H256" s="11">
        <v>72</v>
      </c>
      <c r="I256" s="18">
        <v>0.8347</v>
      </c>
      <c r="J256" s="18">
        <v>0.75800000000000001</v>
      </c>
      <c r="K256" s="18">
        <v>1.8519000000000001</v>
      </c>
      <c r="L256" s="18">
        <v>0.53400000000000003</v>
      </c>
    </row>
    <row r="257" spans="1:12">
      <c r="A257" t="s">
        <v>528</v>
      </c>
      <c r="B257">
        <v>0.5</v>
      </c>
      <c r="C257">
        <v>128</v>
      </c>
      <c r="D257" s="1" t="b">
        <v>1</v>
      </c>
      <c r="E257" t="s">
        <v>547</v>
      </c>
      <c r="F257" t="s">
        <v>531</v>
      </c>
      <c r="G257" t="s">
        <v>5</v>
      </c>
      <c r="H257" s="11">
        <v>140</v>
      </c>
      <c r="I257" s="18">
        <v>0.55520000000000003</v>
      </c>
      <c r="J257" s="18">
        <v>0.83530000000000004</v>
      </c>
      <c r="K257" s="18">
        <v>2.0377999999999998</v>
      </c>
      <c r="L257" s="18">
        <v>0.53400000000000003</v>
      </c>
    </row>
    <row r="258" spans="1:12">
      <c r="A258" t="s">
        <v>528</v>
      </c>
      <c r="B258">
        <v>0.1</v>
      </c>
      <c r="C258">
        <v>256</v>
      </c>
      <c r="D258" s="1" t="b">
        <v>0</v>
      </c>
      <c r="E258" t="s">
        <v>547</v>
      </c>
      <c r="F258" t="s">
        <v>531</v>
      </c>
      <c r="G258" t="s">
        <v>0</v>
      </c>
      <c r="H258" s="11">
        <v>151</v>
      </c>
      <c r="I258" s="18">
        <v>0.39079999999999998</v>
      </c>
      <c r="J258" s="18">
        <v>0.89059999999999995</v>
      </c>
      <c r="K258" s="18">
        <v>2.0423</v>
      </c>
      <c r="L258" s="18">
        <v>0.53400000000000003</v>
      </c>
    </row>
    <row r="259" spans="1:12">
      <c r="A259" t="s">
        <v>528</v>
      </c>
      <c r="B259">
        <v>0.1</v>
      </c>
      <c r="C259">
        <v>128</v>
      </c>
      <c r="D259" s="1" t="b">
        <v>0</v>
      </c>
      <c r="E259" t="s">
        <v>547</v>
      </c>
      <c r="F259" t="s">
        <v>531</v>
      </c>
      <c r="G259" t="s">
        <v>0</v>
      </c>
      <c r="H259" s="11">
        <v>91</v>
      </c>
      <c r="I259" s="18">
        <v>0.39950000000000002</v>
      </c>
      <c r="J259" s="18">
        <v>0.8921</v>
      </c>
      <c r="K259" s="18">
        <v>2.1916000000000002</v>
      </c>
      <c r="L259" s="18">
        <v>0.53400000000000003</v>
      </c>
    </row>
    <row r="260" spans="1:12">
      <c r="A260" t="s">
        <v>528</v>
      </c>
      <c r="B260">
        <v>0.3</v>
      </c>
      <c r="C260">
        <v>128</v>
      </c>
      <c r="D260" s="1" t="b">
        <v>0</v>
      </c>
      <c r="E260" t="s">
        <v>548</v>
      </c>
      <c r="F260" t="s">
        <v>531</v>
      </c>
      <c r="G260" t="s">
        <v>4</v>
      </c>
      <c r="H260" s="11">
        <v>74</v>
      </c>
      <c r="I260" s="18">
        <v>0.25059999999999999</v>
      </c>
      <c r="J260" s="18">
        <v>0.93130000000000002</v>
      </c>
      <c r="K260" s="18">
        <v>2.2444999999999999</v>
      </c>
      <c r="L260" s="18">
        <v>0.53400000000000003</v>
      </c>
    </row>
    <row r="261" spans="1:12">
      <c r="A261" t="s">
        <v>528</v>
      </c>
      <c r="B261">
        <v>0.3</v>
      </c>
      <c r="C261">
        <v>128</v>
      </c>
      <c r="D261" s="1" t="b">
        <v>1</v>
      </c>
      <c r="E261" t="s">
        <v>547</v>
      </c>
      <c r="F261" t="s">
        <v>532</v>
      </c>
      <c r="G261" t="s">
        <v>1</v>
      </c>
      <c r="H261" s="11">
        <v>141</v>
      </c>
      <c r="I261" s="18">
        <v>1.1606000000000001</v>
      </c>
      <c r="J261" s="18">
        <v>0.65110000000000001</v>
      </c>
      <c r="K261" s="18">
        <v>1.7228000000000001</v>
      </c>
      <c r="L261" s="18">
        <v>0.53349999999999997</v>
      </c>
    </row>
    <row r="262" spans="1:12">
      <c r="A262" t="s">
        <v>528</v>
      </c>
      <c r="B262">
        <v>0.3</v>
      </c>
      <c r="C262">
        <v>256</v>
      </c>
      <c r="D262" s="1" t="b">
        <v>1</v>
      </c>
      <c r="E262" t="s">
        <v>548</v>
      </c>
      <c r="F262" t="s">
        <v>532</v>
      </c>
      <c r="G262" t="s">
        <v>2</v>
      </c>
      <c r="H262" s="11">
        <v>287</v>
      </c>
      <c r="I262" s="18">
        <v>0.90610000000000002</v>
      </c>
      <c r="J262" s="18">
        <v>0.72699999999999998</v>
      </c>
      <c r="K262" s="18">
        <v>1.7604</v>
      </c>
      <c r="L262" s="18">
        <v>0.53349999999999997</v>
      </c>
    </row>
    <row r="263" spans="1:12">
      <c r="A263" t="s">
        <v>528</v>
      </c>
      <c r="B263">
        <v>0.1</v>
      </c>
      <c r="C263">
        <v>128</v>
      </c>
      <c r="D263" s="1" t="b">
        <v>0</v>
      </c>
      <c r="E263" t="s">
        <v>547</v>
      </c>
      <c r="F263" t="s">
        <v>532</v>
      </c>
      <c r="G263" t="s">
        <v>3</v>
      </c>
      <c r="H263" s="11">
        <v>73</v>
      </c>
      <c r="I263" s="18">
        <v>1.0042</v>
      </c>
      <c r="J263" s="18">
        <v>0.70699999999999996</v>
      </c>
      <c r="K263" s="18">
        <v>1.7771999999999999</v>
      </c>
      <c r="L263" s="18">
        <v>0.53349999999999997</v>
      </c>
    </row>
    <row r="264" spans="1:12">
      <c r="A264" t="s">
        <v>528</v>
      </c>
      <c r="B264">
        <v>0.3</v>
      </c>
      <c r="C264">
        <v>64</v>
      </c>
      <c r="D264" s="1" t="b">
        <v>1</v>
      </c>
      <c r="E264" t="s">
        <v>548</v>
      </c>
      <c r="F264" t="s">
        <v>532</v>
      </c>
      <c r="G264" t="s">
        <v>3</v>
      </c>
      <c r="H264" s="11">
        <v>73</v>
      </c>
      <c r="I264" s="18">
        <v>0.78610000000000002</v>
      </c>
      <c r="J264" s="18">
        <v>0.76819999999999999</v>
      </c>
      <c r="K264" s="18">
        <v>1.8063</v>
      </c>
      <c r="L264" s="18">
        <v>0.53349999999999997</v>
      </c>
    </row>
    <row r="265" spans="1:12">
      <c r="A265" t="s">
        <v>528</v>
      </c>
      <c r="B265">
        <v>0.1</v>
      </c>
      <c r="C265">
        <v>64</v>
      </c>
      <c r="D265" s="1" t="b">
        <v>1</v>
      </c>
      <c r="E265" t="s">
        <v>547</v>
      </c>
      <c r="F265" t="s">
        <v>532</v>
      </c>
      <c r="G265" t="s">
        <v>4</v>
      </c>
      <c r="H265" s="11">
        <v>85</v>
      </c>
      <c r="I265" s="18">
        <v>0.9123</v>
      </c>
      <c r="J265" s="18">
        <v>0.73350000000000004</v>
      </c>
      <c r="K265" s="18">
        <v>1.8221000000000001</v>
      </c>
      <c r="L265" s="18">
        <v>0.53349999999999997</v>
      </c>
    </row>
    <row r="266" spans="1:12">
      <c r="A266" t="s">
        <v>528</v>
      </c>
      <c r="B266">
        <v>0.1</v>
      </c>
      <c r="C266">
        <v>128</v>
      </c>
      <c r="D266" s="1" t="b">
        <v>0</v>
      </c>
      <c r="E266" t="s">
        <v>548</v>
      </c>
      <c r="F266" t="s">
        <v>532</v>
      </c>
      <c r="G266" t="s">
        <v>3</v>
      </c>
      <c r="H266" s="11">
        <v>72</v>
      </c>
      <c r="I266" s="18">
        <v>0.69140000000000001</v>
      </c>
      <c r="J266" s="18">
        <v>0.79649999999999999</v>
      </c>
      <c r="K266" s="18">
        <v>1.8740000000000001</v>
      </c>
      <c r="L266" s="18">
        <v>0.53349999999999997</v>
      </c>
    </row>
    <row r="267" spans="1:12">
      <c r="A267" t="s">
        <v>528</v>
      </c>
      <c r="B267">
        <v>0.5</v>
      </c>
      <c r="C267">
        <v>256</v>
      </c>
      <c r="D267" s="1" t="b">
        <v>0</v>
      </c>
      <c r="E267" t="s">
        <v>548</v>
      </c>
      <c r="F267" t="s">
        <v>531</v>
      </c>
      <c r="G267" t="s">
        <v>0</v>
      </c>
      <c r="H267" s="11">
        <v>142</v>
      </c>
      <c r="I267" s="18">
        <v>0.50839999999999996</v>
      </c>
      <c r="J267" s="18">
        <v>0.84909999999999997</v>
      </c>
      <c r="K267" s="18">
        <v>1.8971</v>
      </c>
      <c r="L267" s="18">
        <v>0.53349999999999997</v>
      </c>
    </row>
    <row r="268" spans="1:12">
      <c r="A268" t="s">
        <v>528</v>
      </c>
      <c r="B268">
        <v>0.1</v>
      </c>
      <c r="C268">
        <v>128</v>
      </c>
      <c r="D268" s="1" t="b">
        <v>0</v>
      </c>
      <c r="E268" t="s">
        <v>548</v>
      </c>
      <c r="F268" t="s">
        <v>532</v>
      </c>
      <c r="G268" t="s">
        <v>5</v>
      </c>
      <c r="H268" s="11">
        <v>85</v>
      </c>
      <c r="I268" s="18">
        <v>0.58179999999999998</v>
      </c>
      <c r="J268" s="18">
        <v>0.82899999999999996</v>
      </c>
      <c r="K268" s="18">
        <v>1.9096</v>
      </c>
      <c r="L268" s="18">
        <v>0.53349999999999997</v>
      </c>
    </row>
    <row r="269" spans="1:12">
      <c r="A269" t="s">
        <v>528</v>
      </c>
      <c r="B269">
        <v>0.3</v>
      </c>
      <c r="C269">
        <v>64</v>
      </c>
      <c r="D269" s="1" t="b">
        <v>0</v>
      </c>
      <c r="E269" t="s">
        <v>547</v>
      </c>
      <c r="F269" t="s">
        <v>531</v>
      </c>
      <c r="G269" t="s">
        <v>1</v>
      </c>
      <c r="H269" s="11">
        <v>42</v>
      </c>
      <c r="I269" s="18">
        <v>0.45729999999999998</v>
      </c>
      <c r="J269" s="18">
        <v>0.87409999999999999</v>
      </c>
      <c r="K269" s="18">
        <v>2.1555</v>
      </c>
      <c r="L269" s="18">
        <v>0.53349999999999997</v>
      </c>
    </row>
    <row r="270" spans="1:12">
      <c r="A270" t="s">
        <v>556</v>
      </c>
      <c r="B270">
        <v>0.1</v>
      </c>
      <c r="C270">
        <v>256</v>
      </c>
      <c r="D270" t="b">
        <v>0</v>
      </c>
      <c r="E270" t="s">
        <v>548</v>
      </c>
      <c r="F270" t="s">
        <v>532</v>
      </c>
      <c r="G270" t="s">
        <v>1</v>
      </c>
      <c r="H270">
        <v>119</v>
      </c>
      <c r="I270">
        <v>0.67530000000000001</v>
      </c>
      <c r="J270">
        <v>0.79910000000000003</v>
      </c>
      <c r="K270">
        <v>1.8344</v>
      </c>
      <c r="L270">
        <v>0.53300000000000003</v>
      </c>
    </row>
    <row r="271" spans="1:12">
      <c r="A271" t="s">
        <v>528</v>
      </c>
      <c r="B271">
        <v>0.1</v>
      </c>
      <c r="C271">
        <v>64</v>
      </c>
      <c r="D271" s="1" t="b">
        <v>0</v>
      </c>
      <c r="E271" t="s">
        <v>547</v>
      </c>
      <c r="F271" t="s">
        <v>532</v>
      </c>
      <c r="G271" t="s">
        <v>3</v>
      </c>
      <c r="H271" s="11">
        <v>42</v>
      </c>
      <c r="I271" s="18">
        <v>1.0543</v>
      </c>
      <c r="J271" s="18">
        <v>0.69140000000000001</v>
      </c>
      <c r="K271" s="18">
        <v>1.8412999999999999</v>
      </c>
      <c r="L271" s="18">
        <v>0.53300000000000003</v>
      </c>
    </row>
    <row r="272" spans="1:12">
      <c r="A272" t="s">
        <v>528</v>
      </c>
      <c r="B272">
        <v>0.5</v>
      </c>
      <c r="C272">
        <v>128</v>
      </c>
      <c r="D272" s="1" t="b">
        <v>1</v>
      </c>
      <c r="E272" t="s">
        <v>548</v>
      </c>
      <c r="F272" t="s">
        <v>531</v>
      </c>
      <c r="G272" t="s">
        <v>0</v>
      </c>
      <c r="H272" s="11">
        <v>136</v>
      </c>
      <c r="I272" s="18">
        <v>0.6694</v>
      </c>
      <c r="J272" s="18">
        <v>0.79910000000000003</v>
      </c>
      <c r="K272" s="18">
        <v>1.8823000000000001</v>
      </c>
      <c r="L272" s="18">
        <v>0.53300000000000003</v>
      </c>
    </row>
    <row r="273" spans="1:12">
      <c r="A273" t="s">
        <v>528</v>
      </c>
      <c r="B273">
        <v>0.3</v>
      </c>
      <c r="C273">
        <v>128</v>
      </c>
      <c r="D273" s="1" t="b">
        <v>0</v>
      </c>
      <c r="E273" t="s">
        <v>548</v>
      </c>
      <c r="F273" t="s">
        <v>532</v>
      </c>
      <c r="G273" t="s">
        <v>0</v>
      </c>
      <c r="H273" s="11">
        <v>73</v>
      </c>
      <c r="I273" s="18">
        <v>1.0303</v>
      </c>
      <c r="J273" s="18">
        <v>0.69020000000000004</v>
      </c>
      <c r="K273" s="18">
        <v>1.6900999999999999</v>
      </c>
      <c r="L273" s="18">
        <v>0.53249999999999997</v>
      </c>
    </row>
    <row r="274" spans="1:12">
      <c r="A274" t="s">
        <v>528</v>
      </c>
      <c r="B274">
        <v>0.5</v>
      </c>
      <c r="C274">
        <v>64</v>
      </c>
      <c r="D274" s="1" t="b">
        <v>1</v>
      </c>
      <c r="E274" t="s">
        <v>548</v>
      </c>
      <c r="F274" t="s">
        <v>532</v>
      </c>
      <c r="G274" t="s">
        <v>1</v>
      </c>
      <c r="H274" s="11">
        <v>75</v>
      </c>
      <c r="I274" s="18">
        <v>1.1269</v>
      </c>
      <c r="J274" s="18">
        <v>0.6714</v>
      </c>
      <c r="K274" s="18">
        <v>1.7665999999999999</v>
      </c>
      <c r="L274" s="18">
        <v>0.53249999999999997</v>
      </c>
    </row>
    <row r="275" spans="1:12">
      <c r="A275" t="s">
        <v>528</v>
      </c>
      <c r="B275">
        <v>0.1</v>
      </c>
      <c r="C275">
        <v>128</v>
      </c>
      <c r="D275" s="1" t="b">
        <v>1</v>
      </c>
      <c r="E275" t="s">
        <v>547</v>
      </c>
      <c r="F275" t="s">
        <v>532</v>
      </c>
      <c r="G275" t="s">
        <v>2</v>
      </c>
      <c r="H275" s="11">
        <v>146</v>
      </c>
      <c r="I275" s="18">
        <v>0.97899999999999998</v>
      </c>
      <c r="J275" s="18">
        <v>0.71030000000000004</v>
      </c>
      <c r="K275" s="18">
        <v>1.8098000000000001</v>
      </c>
      <c r="L275" s="18">
        <v>0.53249999999999997</v>
      </c>
    </row>
    <row r="276" spans="1:12">
      <c r="A276" t="s">
        <v>556</v>
      </c>
      <c r="B276">
        <v>0.3</v>
      </c>
      <c r="C276">
        <v>64</v>
      </c>
      <c r="D276" t="b">
        <v>0</v>
      </c>
      <c r="E276" t="s">
        <v>548</v>
      </c>
      <c r="F276" t="s">
        <v>532</v>
      </c>
      <c r="G276" t="s">
        <v>3</v>
      </c>
      <c r="H276">
        <v>34</v>
      </c>
      <c r="I276">
        <v>0.82520000000000004</v>
      </c>
      <c r="J276">
        <v>0.75619999999999998</v>
      </c>
      <c r="K276">
        <v>1.8506</v>
      </c>
      <c r="L276">
        <v>0.53249999999999997</v>
      </c>
    </row>
    <row r="277" spans="1:12">
      <c r="A277" t="s">
        <v>556</v>
      </c>
      <c r="B277">
        <v>0.3</v>
      </c>
      <c r="C277">
        <v>128</v>
      </c>
      <c r="D277" t="b">
        <v>0</v>
      </c>
      <c r="E277" t="s">
        <v>547</v>
      </c>
      <c r="F277" t="s">
        <v>531</v>
      </c>
      <c r="G277" t="s">
        <v>0</v>
      </c>
      <c r="H277">
        <v>60</v>
      </c>
      <c r="I277">
        <v>0.35720000000000002</v>
      </c>
      <c r="J277">
        <v>0.89780000000000004</v>
      </c>
      <c r="K277">
        <v>1.9637</v>
      </c>
      <c r="L277">
        <v>0.53249999999999997</v>
      </c>
    </row>
    <row r="278" spans="1:12">
      <c r="A278" t="s">
        <v>528</v>
      </c>
      <c r="B278">
        <v>0.1</v>
      </c>
      <c r="C278">
        <v>128</v>
      </c>
      <c r="D278" s="1" t="b">
        <v>0</v>
      </c>
      <c r="E278" t="s">
        <v>547</v>
      </c>
      <c r="F278" t="s">
        <v>531</v>
      </c>
      <c r="G278" t="s">
        <v>4</v>
      </c>
      <c r="H278" s="11">
        <v>93</v>
      </c>
      <c r="I278" s="18">
        <v>0.23300000000000001</v>
      </c>
      <c r="J278" s="18">
        <v>0.93369999999999997</v>
      </c>
      <c r="K278" s="18">
        <v>2.4651999999999998</v>
      </c>
      <c r="L278" s="18">
        <v>0.53249999999999997</v>
      </c>
    </row>
    <row r="279" spans="1:12">
      <c r="A279" t="s">
        <v>556</v>
      </c>
      <c r="B279">
        <v>0.1</v>
      </c>
      <c r="C279">
        <v>256</v>
      </c>
      <c r="D279" t="b">
        <v>0</v>
      </c>
      <c r="E279" t="s">
        <v>547</v>
      </c>
      <c r="F279" t="s">
        <v>531</v>
      </c>
      <c r="G279" t="s">
        <v>0</v>
      </c>
      <c r="H279">
        <v>116</v>
      </c>
      <c r="I279">
        <v>0.26860000000000001</v>
      </c>
      <c r="J279">
        <v>0.91930000000000001</v>
      </c>
      <c r="K279">
        <v>2.0640000000000001</v>
      </c>
      <c r="L279">
        <v>0.53200000000000003</v>
      </c>
    </row>
    <row r="280" spans="1:12">
      <c r="A280" t="s">
        <v>556</v>
      </c>
      <c r="B280">
        <v>0.3</v>
      </c>
      <c r="C280">
        <v>256</v>
      </c>
      <c r="D280" t="b">
        <v>0</v>
      </c>
      <c r="E280" t="s">
        <v>547</v>
      </c>
      <c r="F280" t="s">
        <v>531</v>
      </c>
      <c r="G280" t="s">
        <v>2</v>
      </c>
      <c r="H280">
        <v>116</v>
      </c>
      <c r="I280">
        <v>0.2535</v>
      </c>
      <c r="J280">
        <v>0.92210000000000003</v>
      </c>
      <c r="K280">
        <v>2.1320999999999999</v>
      </c>
      <c r="L280">
        <v>0.53200000000000003</v>
      </c>
    </row>
    <row r="281" spans="1:12">
      <c r="A281" t="s">
        <v>556</v>
      </c>
      <c r="B281">
        <v>0.3</v>
      </c>
      <c r="C281">
        <v>128</v>
      </c>
      <c r="D281" t="b">
        <v>0</v>
      </c>
      <c r="E281" t="s">
        <v>548</v>
      </c>
      <c r="F281" t="s">
        <v>531</v>
      </c>
      <c r="G281" t="s">
        <v>5</v>
      </c>
      <c r="H281">
        <v>58</v>
      </c>
      <c r="I281">
        <v>0.17230000000000001</v>
      </c>
      <c r="J281">
        <v>0.94840000000000002</v>
      </c>
      <c r="K281">
        <v>2.2810000000000001</v>
      </c>
      <c r="L281">
        <v>0.53200000000000003</v>
      </c>
    </row>
    <row r="282" spans="1:12">
      <c r="A282" t="s">
        <v>528</v>
      </c>
      <c r="B282">
        <v>0.1</v>
      </c>
      <c r="C282">
        <v>128</v>
      </c>
      <c r="D282" s="1" t="b">
        <v>0</v>
      </c>
      <c r="E282" t="s">
        <v>547</v>
      </c>
      <c r="F282" t="s">
        <v>531</v>
      </c>
      <c r="G282" t="s">
        <v>3</v>
      </c>
      <c r="H282" s="11">
        <v>93</v>
      </c>
      <c r="I282" s="18">
        <v>0.27379999999999999</v>
      </c>
      <c r="J282" s="18">
        <v>0.92159999999999997</v>
      </c>
      <c r="K282" s="18">
        <v>2.3361000000000001</v>
      </c>
      <c r="L282" s="18">
        <v>0.53200000000000003</v>
      </c>
    </row>
    <row r="283" spans="1:12">
      <c r="A283" t="s">
        <v>528</v>
      </c>
      <c r="B283">
        <v>0.1</v>
      </c>
      <c r="C283">
        <v>256</v>
      </c>
      <c r="D283" s="1" t="b">
        <v>0</v>
      </c>
      <c r="E283" t="s">
        <v>548</v>
      </c>
      <c r="F283" t="s">
        <v>532</v>
      </c>
      <c r="G283" t="s">
        <v>1</v>
      </c>
      <c r="H283" s="11">
        <v>140</v>
      </c>
      <c r="I283" s="18">
        <v>0.93959999999999999</v>
      </c>
      <c r="J283" s="18">
        <v>0.72199999999999998</v>
      </c>
      <c r="K283" s="18">
        <v>1.6862999999999999</v>
      </c>
      <c r="L283" s="18">
        <v>0.53149999999999997</v>
      </c>
    </row>
    <row r="284" spans="1:12">
      <c r="A284" t="s">
        <v>528</v>
      </c>
      <c r="B284">
        <v>0.5</v>
      </c>
      <c r="C284">
        <v>64</v>
      </c>
      <c r="D284" s="1" t="b">
        <v>1</v>
      </c>
      <c r="E284" t="s">
        <v>548</v>
      </c>
      <c r="F284" t="s">
        <v>532</v>
      </c>
      <c r="G284" t="s">
        <v>5</v>
      </c>
      <c r="H284" s="11">
        <v>75</v>
      </c>
      <c r="I284" s="18">
        <v>0.95720000000000005</v>
      </c>
      <c r="J284" s="18">
        <v>0.72009999999999996</v>
      </c>
      <c r="K284" s="18">
        <v>1.8089</v>
      </c>
      <c r="L284" s="18">
        <v>0.53149999999999997</v>
      </c>
    </row>
    <row r="285" spans="1:12">
      <c r="A285" t="s">
        <v>528</v>
      </c>
      <c r="B285">
        <v>0.3</v>
      </c>
      <c r="C285">
        <v>64</v>
      </c>
      <c r="D285" s="1" t="b">
        <v>1</v>
      </c>
      <c r="E285" t="s">
        <v>547</v>
      </c>
      <c r="F285" t="s">
        <v>532</v>
      </c>
      <c r="G285" t="s">
        <v>5</v>
      </c>
      <c r="H285" s="11">
        <v>72</v>
      </c>
      <c r="I285" s="18">
        <v>1.0307999999999999</v>
      </c>
      <c r="J285" s="18">
        <v>0.70099999999999996</v>
      </c>
      <c r="K285" s="18">
        <v>1.8315999999999999</v>
      </c>
      <c r="L285" s="18">
        <v>0.53149999999999997</v>
      </c>
    </row>
    <row r="286" spans="1:12">
      <c r="A286" t="s">
        <v>556</v>
      </c>
      <c r="B286">
        <v>0.3</v>
      </c>
      <c r="C286">
        <v>64</v>
      </c>
      <c r="D286" t="b">
        <v>0</v>
      </c>
      <c r="E286" t="s">
        <v>548</v>
      </c>
      <c r="F286" t="s">
        <v>532</v>
      </c>
      <c r="G286" t="s">
        <v>4</v>
      </c>
      <c r="H286">
        <v>34</v>
      </c>
      <c r="I286">
        <v>0.76</v>
      </c>
      <c r="J286">
        <v>0.77290000000000003</v>
      </c>
      <c r="K286">
        <v>1.8594999999999999</v>
      </c>
      <c r="L286">
        <v>0.53149999999999997</v>
      </c>
    </row>
    <row r="287" spans="1:12">
      <c r="A287" t="s">
        <v>528</v>
      </c>
      <c r="B287">
        <v>0.3</v>
      </c>
      <c r="C287">
        <v>256</v>
      </c>
      <c r="D287" s="1" t="b">
        <v>0</v>
      </c>
      <c r="E287" t="s">
        <v>547</v>
      </c>
      <c r="F287" t="s">
        <v>531</v>
      </c>
      <c r="G287" t="s">
        <v>1</v>
      </c>
      <c r="H287" s="11">
        <v>163</v>
      </c>
      <c r="I287" s="18">
        <v>0.39369999999999999</v>
      </c>
      <c r="J287" s="18">
        <v>0.88480000000000003</v>
      </c>
      <c r="K287" s="18">
        <v>1.9545999999999999</v>
      </c>
      <c r="L287" s="18">
        <v>0.53149999999999997</v>
      </c>
    </row>
    <row r="288" spans="1:12">
      <c r="A288" t="s">
        <v>528</v>
      </c>
      <c r="B288">
        <v>0.3</v>
      </c>
      <c r="C288">
        <v>256</v>
      </c>
      <c r="D288" s="1" t="b">
        <v>1</v>
      </c>
      <c r="E288" t="s">
        <v>548</v>
      </c>
      <c r="F288" t="s">
        <v>531</v>
      </c>
      <c r="G288" t="s">
        <v>0</v>
      </c>
      <c r="H288" s="11">
        <v>277</v>
      </c>
      <c r="I288" s="18">
        <v>0.44319999999999998</v>
      </c>
      <c r="J288" s="18">
        <v>0.87039999999999995</v>
      </c>
      <c r="K288" s="18">
        <v>1.9753000000000001</v>
      </c>
      <c r="L288" s="18">
        <v>0.53149999999999997</v>
      </c>
    </row>
    <row r="289" spans="1:12">
      <c r="A289" t="s">
        <v>528</v>
      </c>
      <c r="B289">
        <v>0.1</v>
      </c>
      <c r="C289">
        <v>128</v>
      </c>
      <c r="D289" s="1" t="b">
        <v>1</v>
      </c>
      <c r="E289" t="s">
        <v>548</v>
      </c>
      <c r="F289" t="s">
        <v>532</v>
      </c>
      <c r="G289" t="s">
        <v>4</v>
      </c>
      <c r="H289" s="11">
        <v>143</v>
      </c>
      <c r="I289" s="18">
        <v>0.53039999999999998</v>
      </c>
      <c r="J289" s="18">
        <v>0.84240000000000004</v>
      </c>
      <c r="K289" s="18">
        <v>1.9830000000000001</v>
      </c>
      <c r="L289" s="18">
        <v>0.53149999999999997</v>
      </c>
    </row>
    <row r="290" spans="1:12">
      <c r="A290" t="s">
        <v>556</v>
      </c>
      <c r="B290">
        <v>0.1</v>
      </c>
      <c r="C290">
        <v>256</v>
      </c>
      <c r="D290" t="b">
        <v>0</v>
      </c>
      <c r="E290" t="s">
        <v>548</v>
      </c>
      <c r="F290" t="s">
        <v>531</v>
      </c>
      <c r="G290" t="s">
        <v>3</v>
      </c>
      <c r="H290">
        <v>116</v>
      </c>
      <c r="I290">
        <v>0.1731</v>
      </c>
      <c r="J290">
        <v>0.9496</v>
      </c>
      <c r="K290">
        <v>2.1913</v>
      </c>
      <c r="L290">
        <v>0.53149999999999997</v>
      </c>
    </row>
    <row r="291" spans="1:12">
      <c r="A291" t="s">
        <v>528</v>
      </c>
      <c r="B291">
        <v>0.1</v>
      </c>
      <c r="C291">
        <v>256</v>
      </c>
      <c r="D291" s="1" t="b">
        <v>1</v>
      </c>
      <c r="E291" t="s">
        <v>547</v>
      </c>
      <c r="F291" t="s">
        <v>531</v>
      </c>
      <c r="G291" t="s">
        <v>4</v>
      </c>
      <c r="H291" s="11">
        <v>286</v>
      </c>
      <c r="I291" s="18">
        <v>0.32450000000000001</v>
      </c>
      <c r="J291" s="18">
        <v>0.90290000000000004</v>
      </c>
      <c r="K291" s="18">
        <v>2.2484000000000002</v>
      </c>
      <c r="L291" s="18">
        <v>0.53149999999999997</v>
      </c>
    </row>
    <row r="292" spans="1:12">
      <c r="A292" t="s">
        <v>528</v>
      </c>
      <c r="B292">
        <v>0.1</v>
      </c>
      <c r="C292">
        <v>128</v>
      </c>
      <c r="D292" s="1" t="b">
        <v>0</v>
      </c>
      <c r="E292" t="s">
        <v>547</v>
      </c>
      <c r="F292" t="s">
        <v>532</v>
      </c>
      <c r="G292" t="s">
        <v>2</v>
      </c>
      <c r="H292" s="11">
        <v>73</v>
      </c>
      <c r="I292" s="18">
        <v>1.0943000000000001</v>
      </c>
      <c r="J292" s="18">
        <v>0.6794</v>
      </c>
      <c r="K292" s="18">
        <v>1.7677</v>
      </c>
      <c r="L292" s="18">
        <v>0.53100000000000003</v>
      </c>
    </row>
    <row r="293" spans="1:12">
      <c r="A293" t="s">
        <v>528</v>
      </c>
      <c r="B293">
        <v>0.3</v>
      </c>
      <c r="C293">
        <v>64</v>
      </c>
      <c r="D293" s="1" t="b">
        <v>1</v>
      </c>
      <c r="E293" t="s">
        <v>547</v>
      </c>
      <c r="F293" t="s">
        <v>532</v>
      </c>
      <c r="G293" t="s">
        <v>2</v>
      </c>
      <c r="H293" s="11">
        <v>72</v>
      </c>
      <c r="I293" s="18">
        <v>1.1865000000000001</v>
      </c>
      <c r="J293" s="18">
        <v>0.64610000000000001</v>
      </c>
      <c r="K293" s="18">
        <v>1.7988</v>
      </c>
      <c r="L293" s="18">
        <v>0.53100000000000003</v>
      </c>
    </row>
    <row r="294" spans="1:12">
      <c r="A294" t="s">
        <v>528</v>
      </c>
      <c r="B294">
        <v>0.1</v>
      </c>
      <c r="C294">
        <v>64</v>
      </c>
      <c r="D294" s="1" t="b">
        <v>0</v>
      </c>
      <c r="E294" t="s">
        <v>548</v>
      </c>
      <c r="F294" t="s">
        <v>532</v>
      </c>
      <c r="G294" t="s">
        <v>3</v>
      </c>
      <c r="H294" s="11">
        <v>48</v>
      </c>
      <c r="I294" s="18">
        <v>0.71419999999999995</v>
      </c>
      <c r="J294" s="18">
        <v>0.79469999999999996</v>
      </c>
      <c r="K294" s="18">
        <v>1.8481000000000001</v>
      </c>
      <c r="L294" s="18">
        <v>0.53100000000000003</v>
      </c>
    </row>
    <row r="295" spans="1:12">
      <c r="A295" t="s">
        <v>528</v>
      </c>
      <c r="B295">
        <v>0.5</v>
      </c>
      <c r="C295">
        <v>256</v>
      </c>
      <c r="D295" s="1" t="b">
        <v>0</v>
      </c>
      <c r="E295" t="s">
        <v>547</v>
      </c>
      <c r="F295" t="s">
        <v>531</v>
      </c>
      <c r="G295" t="s">
        <v>3</v>
      </c>
      <c r="H295" s="11">
        <v>169</v>
      </c>
      <c r="I295" s="18">
        <v>0.45850000000000002</v>
      </c>
      <c r="J295" s="18">
        <v>0.86550000000000005</v>
      </c>
      <c r="K295" s="18">
        <v>1.9105000000000001</v>
      </c>
      <c r="L295" s="18">
        <v>0.53100000000000003</v>
      </c>
    </row>
    <row r="296" spans="1:12">
      <c r="A296" t="s">
        <v>556</v>
      </c>
      <c r="B296">
        <v>0.3</v>
      </c>
      <c r="C296">
        <v>128</v>
      </c>
      <c r="D296" t="b">
        <v>0</v>
      </c>
      <c r="E296" t="s">
        <v>548</v>
      </c>
      <c r="F296" t="s">
        <v>531</v>
      </c>
      <c r="G296" t="s">
        <v>2</v>
      </c>
      <c r="H296">
        <v>59</v>
      </c>
      <c r="I296">
        <v>0.2319</v>
      </c>
      <c r="J296">
        <v>0.93210000000000004</v>
      </c>
      <c r="K296">
        <v>2.1265000000000001</v>
      </c>
      <c r="L296">
        <v>0.53100000000000003</v>
      </c>
    </row>
    <row r="297" spans="1:12">
      <c r="A297" t="s">
        <v>528</v>
      </c>
      <c r="B297">
        <v>0.3</v>
      </c>
      <c r="C297">
        <v>256</v>
      </c>
      <c r="D297" s="1" t="b">
        <v>0</v>
      </c>
      <c r="E297" t="s">
        <v>548</v>
      </c>
      <c r="F297" t="s">
        <v>531</v>
      </c>
      <c r="G297" t="s">
        <v>3</v>
      </c>
      <c r="H297" s="11">
        <v>141</v>
      </c>
      <c r="I297" s="18">
        <v>0.2732</v>
      </c>
      <c r="J297" s="18">
        <v>0.9194</v>
      </c>
      <c r="K297" s="18">
        <v>2.1680000000000001</v>
      </c>
      <c r="L297" s="18">
        <v>0.53100000000000003</v>
      </c>
    </row>
    <row r="298" spans="1:12">
      <c r="A298" t="s">
        <v>556</v>
      </c>
      <c r="B298">
        <v>0.5</v>
      </c>
      <c r="C298">
        <v>128</v>
      </c>
      <c r="D298" t="b">
        <v>0</v>
      </c>
      <c r="E298" t="s">
        <v>548</v>
      </c>
      <c r="F298" t="s">
        <v>531</v>
      </c>
      <c r="G298" t="s">
        <v>5</v>
      </c>
      <c r="H298">
        <v>59</v>
      </c>
      <c r="I298">
        <v>0.2576</v>
      </c>
      <c r="J298">
        <v>0.92300000000000004</v>
      </c>
      <c r="K298">
        <v>2.1863000000000001</v>
      </c>
      <c r="L298">
        <v>0.53100000000000003</v>
      </c>
    </row>
    <row r="299" spans="1:12">
      <c r="A299" t="s">
        <v>528</v>
      </c>
      <c r="B299">
        <v>0.3</v>
      </c>
      <c r="C299">
        <v>256</v>
      </c>
      <c r="D299" s="1" t="b">
        <v>0</v>
      </c>
      <c r="E299" t="s">
        <v>548</v>
      </c>
      <c r="F299" t="s">
        <v>531</v>
      </c>
      <c r="G299" t="s">
        <v>5</v>
      </c>
      <c r="H299" s="11">
        <v>142</v>
      </c>
      <c r="I299" s="18">
        <v>0.23250000000000001</v>
      </c>
      <c r="J299" s="18">
        <v>0.93359999999999999</v>
      </c>
      <c r="K299" s="18">
        <v>2.3148</v>
      </c>
      <c r="L299" s="18">
        <v>0.53100000000000003</v>
      </c>
    </row>
    <row r="300" spans="1:12">
      <c r="A300" t="s">
        <v>528</v>
      </c>
      <c r="B300">
        <v>0.1</v>
      </c>
      <c r="C300">
        <v>64</v>
      </c>
      <c r="D300" s="1" t="b">
        <v>0</v>
      </c>
      <c r="E300" t="s">
        <v>547</v>
      </c>
      <c r="F300" t="s">
        <v>531</v>
      </c>
      <c r="G300" t="s">
        <v>4</v>
      </c>
      <c r="H300" s="11">
        <v>42</v>
      </c>
      <c r="I300" s="18">
        <v>0.22550000000000001</v>
      </c>
      <c r="J300" s="18">
        <v>0.94059999999999999</v>
      </c>
      <c r="K300" s="18">
        <v>2.4098000000000002</v>
      </c>
      <c r="L300" s="18">
        <v>0.53100000000000003</v>
      </c>
    </row>
    <row r="301" spans="1:12">
      <c r="A301" t="s">
        <v>556</v>
      </c>
      <c r="B301">
        <v>0.1</v>
      </c>
      <c r="C301">
        <v>64</v>
      </c>
      <c r="D301" t="b">
        <v>0</v>
      </c>
      <c r="E301" t="s">
        <v>547</v>
      </c>
      <c r="F301" t="s">
        <v>532</v>
      </c>
      <c r="G301" t="s">
        <v>1</v>
      </c>
      <c r="H301">
        <v>33</v>
      </c>
      <c r="I301">
        <v>1.0364</v>
      </c>
      <c r="J301">
        <v>0.69610000000000005</v>
      </c>
      <c r="K301">
        <v>1.7364999999999999</v>
      </c>
      <c r="L301">
        <v>0.53049999999999997</v>
      </c>
    </row>
    <row r="302" spans="1:12">
      <c r="A302" t="s">
        <v>528</v>
      </c>
      <c r="B302">
        <v>0.5</v>
      </c>
      <c r="C302">
        <v>64</v>
      </c>
      <c r="D302" s="1" t="b">
        <v>0</v>
      </c>
      <c r="E302" t="s">
        <v>547</v>
      </c>
      <c r="F302" t="s">
        <v>531</v>
      </c>
      <c r="G302" t="s">
        <v>2</v>
      </c>
      <c r="H302" s="11">
        <v>50</v>
      </c>
      <c r="I302" s="18">
        <v>0.54659999999999997</v>
      </c>
      <c r="J302" s="18">
        <v>0.8417</v>
      </c>
      <c r="K302" s="18">
        <v>2.1467999999999998</v>
      </c>
      <c r="L302" s="18">
        <v>0.53049999999999997</v>
      </c>
    </row>
    <row r="303" spans="1:12">
      <c r="A303" t="s">
        <v>528</v>
      </c>
      <c r="B303">
        <v>0.1</v>
      </c>
      <c r="C303">
        <v>128</v>
      </c>
      <c r="D303" s="1" t="b">
        <v>1</v>
      </c>
      <c r="E303" t="s">
        <v>548</v>
      </c>
      <c r="F303" t="s">
        <v>531</v>
      </c>
      <c r="G303" t="s">
        <v>1</v>
      </c>
      <c r="H303" s="11">
        <v>135</v>
      </c>
      <c r="I303" s="18">
        <v>0.31169999999999998</v>
      </c>
      <c r="J303" s="18">
        <v>0.90400000000000003</v>
      </c>
      <c r="K303" s="18">
        <v>2.2176</v>
      </c>
      <c r="L303" s="18">
        <v>0.53049999999999997</v>
      </c>
    </row>
    <row r="304" spans="1:12">
      <c r="A304" t="s">
        <v>528</v>
      </c>
      <c r="B304">
        <v>0.1</v>
      </c>
      <c r="C304">
        <v>128</v>
      </c>
      <c r="D304" s="1" t="b">
        <v>0</v>
      </c>
      <c r="E304" t="s">
        <v>547</v>
      </c>
      <c r="F304" t="s">
        <v>531</v>
      </c>
      <c r="G304" t="s">
        <v>5</v>
      </c>
      <c r="H304" s="11">
        <v>93</v>
      </c>
      <c r="I304" s="18">
        <v>0.21560000000000001</v>
      </c>
      <c r="J304" s="18">
        <v>0.94359999999999999</v>
      </c>
      <c r="K304" s="18">
        <v>2.4910999999999999</v>
      </c>
      <c r="L304" s="18">
        <v>0.53049999999999997</v>
      </c>
    </row>
    <row r="305" spans="1:12">
      <c r="A305" t="s">
        <v>528</v>
      </c>
      <c r="B305">
        <v>0.5</v>
      </c>
      <c r="C305">
        <v>256</v>
      </c>
      <c r="D305" s="1" t="b">
        <v>1</v>
      </c>
      <c r="E305" t="s">
        <v>548</v>
      </c>
      <c r="F305" t="s">
        <v>532</v>
      </c>
      <c r="G305" t="s">
        <v>2</v>
      </c>
      <c r="H305" s="11">
        <v>285</v>
      </c>
      <c r="I305" s="18">
        <v>1.0571999999999999</v>
      </c>
      <c r="J305" s="18">
        <v>0.68149999999999999</v>
      </c>
      <c r="K305" s="18">
        <v>1.742</v>
      </c>
      <c r="L305" s="18">
        <v>0.53</v>
      </c>
    </row>
    <row r="306" spans="1:12">
      <c r="A306" t="s">
        <v>528</v>
      </c>
      <c r="B306">
        <v>0.1</v>
      </c>
      <c r="C306">
        <v>64</v>
      </c>
      <c r="D306" s="1" t="b">
        <v>1</v>
      </c>
      <c r="E306" t="s">
        <v>548</v>
      </c>
      <c r="F306" t="s">
        <v>532</v>
      </c>
      <c r="G306" t="s">
        <v>0</v>
      </c>
      <c r="H306" s="11">
        <v>73</v>
      </c>
      <c r="I306" s="18">
        <v>0.91200000000000003</v>
      </c>
      <c r="J306" s="18">
        <v>0.73509999999999998</v>
      </c>
      <c r="K306" s="18">
        <v>1.7706</v>
      </c>
      <c r="L306" s="18">
        <v>0.53</v>
      </c>
    </row>
    <row r="307" spans="1:12">
      <c r="A307" t="s">
        <v>556</v>
      </c>
      <c r="B307">
        <v>0.1</v>
      </c>
      <c r="C307">
        <v>256</v>
      </c>
      <c r="D307" t="b">
        <v>0</v>
      </c>
      <c r="E307" t="s">
        <v>548</v>
      </c>
      <c r="F307" t="s">
        <v>532</v>
      </c>
      <c r="G307" t="s">
        <v>4</v>
      </c>
      <c r="H307">
        <v>120</v>
      </c>
      <c r="I307">
        <v>0.48820000000000002</v>
      </c>
      <c r="J307">
        <v>0.84960000000000002</v>
      </c>
      <c r="K307">
        <v>1.9028</v>
      </c>
      <c r="L307">
        <v>0.53</v>
      </c>
    </row>
    <row r="308" spans="1:12">
      <c r="A308" t="s">
        <v>528</v>
      </c>
      <c r="B308">
        <v>0.1</v>
      </c>
      <c r="C308">
        <v>128</v>
      </c>
      <c r="D308" s="1" t="b">
        <v>1</v>
      </c>
      <c r="E308" t="s">
        <v>548</v>
      </c>
      <c r="F308" t="s">
        <v>532</v>
      </c>
      <c r="G308" t="s">
        <v>5</v>
      </c>
      <c r="H308" s="11">
        <v>143</v>
      </c>
      <c r="I308" s="18">
        <v>0.48809999999999998</v>
      </c>
      <c r="J308" s="18">
        <v>0.85350000000000004</v>
      </c>
      <c r="K308" s="18">
        <v>2.0021</v>
      </c>
      <c r="L308" s="18">
        <v>0.53</v>
      </c>
    </row>
    <row r="309" spans="1:12">
      <c r="A309" t="s">
        <v>556</v>
      </c>
      <c r="B309">
        <v>0.1</v>
      </c>
      <c r="C309">
        <v>128</v>
      </c>
      <c r="D309" t="b">
        <v>0</v>
      </c>
      <c r="E309" t="s">
        <v>547</v>
      </c>
      <c r="F309" t="s">
        <v>531</v>
      </c>
      <c r="G309" t="s">
        <v>4</v>
      </c>
      <c r="H309">
        <v>61</v>
      </c>
      <c r="I309">
        <v>0.18459999999999999</v>
      </c>
      <c r="J309">
        <v>0.94940000000000002</v>
      </c>
      <c r="K309">
        <v>2.198</v>
      </c>
      <c r="L309">
        <v>0.53</v>
      </c>
    </row>
    <row r="310" spans="1:12">
      <c r="A310" t="s">
        <v>528</v>
      </c>
      <c r="B310">
        <v>0.1</v>
      </c>
      <c r="C310">
        <v>128</v>
      </c>
      <c r="D310" s="1" t="b">
        <v>0</v>
      </c>
      <c r="E310" t="s">
        <v>547</v>
      </c>
      <c r="F310" t="s">
        <v>531</v>
      </c>
      <c r="G310" t="s">
        <v>2</v>
      </c>
      <c r="H310" s="11">
        <v>93</v>
      </c>
      <c r="I310" s="18">
        <v>0.3105</v>
      </c>
      <c r="J310" s="18">
        <v>0.9143</v>
      </c>
      <c r="K310" s="18">
        <v>2.2972000000000001</v>
      </c>
      <c r="L310" s="18">
        <v>0.53</v>
      </c>
    </row>
    <row r="311" spans="1:12">
      <c r="A311" t="s">
        <v>528</v>
      </c>
      <c r="B311">
        <v>0.3</v>
      </c>
      <c r="C311">
        <v>64</v>
      </c>
      <c r="D311" s="1" t="b">
        <v>0</v>
      </c>
      <c r="E311" t="s">
        <v>547</v>
      </c>
      <c r="F311" t="s">
        <v>531</v>
      </c>
      <c r="G311" t="s">
        <v>5</v>
      </c>
      <c r="H311" s="11">
        <v>43</v>
      </c>
      <c r="I311" s="18">
        <v>0.28620000000000001</v>
      </c>
      <c r="J311" s="18">
        <v>0.92549999999999999</v>
      </c>
      <c r="K311" s="18">
        <v>2.3481000000000001</v>
      </c>
      <c r="L311" s="18">
        <v>0.53</v>
      </c>
    </row>
    <row r="312" spans="1:12">
      <c r="A312" t="s">
        <v>528</v>
      </c>
      <c r="B312">
        <v>0.1</v>
      </c>
      <c r="C312">
        <v>256</v>
      </c>
      <c r="D312" s="1" t="b">
        <v>0</v>
      </c>
      <c r="E312" t="s">
        <v>548</v>
      </c>
      <c r="F312" t="s">
        <v>532</v>
      </c>
      <c r="G312" t="s">
        <v>2</v>
      </c>
      <c r="H312" s="11">
        <v>142</v>
      </c>
      <c r="I312" s="18">
        <v>0.87250000000000005</v>
      </c>
      <c r="J312" s="18">
        <v>0.74590000000000001</v>
      </c>
      <c r="K312" s="18">
        <v>1.7426999999999999</v>
      </c>
      <c r="L312" s="18">
        <v>0.52949999999999997</v>
      </c>
    </row>
    <row r="313" spans="1:12">
      <c r="A313" t="s">
        <v>528</v>
      </c>
      <c r="B313">
        <v>0.3</v>
      </c>
      <c r="C313">
        <v>64</v>
      </c>
      <c r="D313" s="1" t="b">
        <v>1</v>
      </c>
      <c r="E313" t="s">
        <v>548</v>
      </c>
      <c r="F313" t="s">
        <v>532</v>
      </c>
      <c r="G313" t="s">
        <v>0</v>
      </c>
      <c r="H313" s="11">
        <v>73</v>
      </c>
      <c r="I313" s="18">
        <v>0.96260000000000001</v>
      </c>
      <c r="J313" s="18">
        <v>0.71579999999999999</v>
      </c>
      <c r="K313" s="18">
        <v>1.7635000000000001</v>
      </c>
      <c r="L313" s="18">
        <v>0.52949999999999997</v>
      </c>
    </row>
    <row r="314" spans="1:12">
      <c r="A314" t="s">
        <v>528</v>
      </c>
      <c r="B314">
        <v>0.1</v>
      </c>
      <c r="C314">
        <v>64</v>
      </c>
      <c r="D314" s="1" t="b">
        <v>1</v>
      </c>
      <c r="E314" t="s">
        <v>547</v>
      </c>
      <c r="F314" t="s">
        <v>532</v>
      </c>
      <c r="G314" t="s">
        <v>2</v>
      </c>
      <c r="H314" s="11">
        <v>85</v>
      </c>
      <c r="I314" s="18">
        <v>1.0414000000000001</v>
      </c>
      <c r="J314" s="18">
        <v>0.69289999999999996</v>
      </c>
      <c r="K314" s="18">
        <v>1.8391999999999999</v>
      </c>
      <c r="L314" s="18">
        <v>0.52949999999999997</v>
      </c>
    </row>
    <row r="315" spans="1:12">
      <c r="A315" t="s">
        <v>528</v>
      </c>
      <c r="B315">
        <v>0.3</v>
      </c>
      <c r="C315">
        <v>256</v>
      </c>
      <c r="D315" s="1" t="b">
        <v>1</v>
      </c>
      <c r="E315" t="s">
        <v>547</v>
      </c>
      <c r="F315" t="s">
        <v>532</v>
      </c>
      <c r="G315" t="s">
        <v>0</v>
      </c>
      <c r="H315" s="11">
        <v>299</v>
      </c>
      <c r="I315" s="18">
        <v>1.1664000000000001</v>
      </c>
      <c r="J315" s="18">
        <v>0.6583</v>
      </c>
      <c r="K315" s="18">
        <v>1.8596999999999999</v>
      </c>
      <c r="L315" s="18">
        <v>0.52949999999999997</v>
      </c>
    </row>
    <row r="316" spans="1:12">
      <c r="A316" t="s">
        <v>556</v>
      </c>
      <c r="B316">
        <v>0.1</v>
      </c>
      <c r="C316">
        <v>64</v>
      </c>
      <c r="D316" t="b">
        <v>0</v>
      </c>
      <c r="E316" t="s">
        <v>548</v>
      </c>
      <c r="F316" t="s">
        <v>532</v>
      </c>
      <c r="G316" t="s">
        <v>1</v>
      </c>
      <c r="H316">
        <v>30</v>
      </c>
      <c r="I316">
        <v>0.80159999999999998</v>
      </c>
      <c r="J316">
        <v>0.76490000000000002</v>
      </c>
      <c r="K316">
        <v>1.8711</v>
      </c>
      <c r="L316">
        <v>0.52949999999999997</v>
      </c>
    </row>
    <row r="317" spans="1:12">
      <c r="A317" t="s">
        <v>528</v>
      </c>
      <c r="B317">
        <v>0.3</v>
      </c>
      <c r="C317">
        <v>256</v>
      </c>
      <c r="D317" s="1" t="b">
        <v>1</v>
      </c>
      <c r="E317" t="s">
        <v>548</v>
      </c>
      <c r="F317" t="s">
        <v>531</v>
      </c>
      <c r="G317" t="s">
        <v>4</v>
      </c>
      <c r="H317" s="11">
        <v>276</v>
      </c>
      <c r="I317" s="18">
        <v>0.29299999999999998</v>
      </c>
      <c r="J317" s="18">
        <v>0.91500000000000004</v>
      </c>
      <c r="K317" s="18">
        <v>2.1793999999999998</v>
      </c>
      <c r="L317" s="18">
        <v>0.52949999999999997</v>
      </c>
    </row>
    <row r="318" spans="1:12">
      <c r="A318" t="s">
        <v>528</v>
      </c>
      <c r="B318">
        <v>0.5</v>
      </c>
      <c r="C318">
        <v>64</v>
      </c>
      <c r="D318" s="1" t="b">
        <v>0</v>
      </c>
      <c r="E318" t="s">
        <v>547</v>
      </c>
      <c r="F318" t="s">
        <v>531</v>
      </c>
      <c r="G318" t="s">
        <v>3</v>
      </c>
      <c r="H318" s="11">
        <v>51</v>
      </c>
      <c r="I318" s="18">
        <v>0.47049999999999997</v>
      </c>
      <c r="J318" s="18">
        <v>0.86760000000000004</v>
      </c>
      <c r="K318" s="18">
        <v>2.1943000000000001</v>
      </c>
      <c r="L318" s="18">
        <v>0.52949999999999997</v>
      </c>
    </row>
    <row r="319" spans="1:12">
      <c r="A319" t="s">
        <v>528</v>
      </c>
      <c r="B319">
        <v>0.1</v>
      </c>
      <c r="C319">
        <v>256</v>
      </c>
      <c r="D319" s="1" t="b">
        <v>0</v>
      </c>
      <c r="E319" t="s">
        <v>547</v>
      </c>
      <c r="F319" t="s">
        <v>531</v>
      </c>
      <c r="G319" t="s">
        <v>2</v>
      </c>
      <c r="H319" s="11">
        <v>165</v>
      </c>
      <c r="I319" s="18">
        <v>0.29320000000000002</v>
      </c>
      <c r="J319" s="18">
        <v>0.91610000000000003</v>
      </c>
      <c r="K319" s="18">
        <v>2.2023000000000001</v>
      </c>
      <c r="L319" s="18">
        <v>0.52949999999999997</v>
      </c>
    </row>
    <row r="320" spans="1:12">
      <c r="A320" t="s">
        <v>528</v>
      </c>
      <c r="B320">
        <v>0.5</v>
      </c>
      <c r="C320">
        <v>128</v>
      </c>
      <c r="D320" s="1" t="b">
        <v>1</v>
      </c>
      <c r="E320" t="s">
        <v>547</v>
      </c>
      <c r="F320" t="s">
        <v>532</v>
      </c>
      <c r="G320" t="s">
        <v>4</v>
      </c>
      <c r="H320" s="11">
        <v>141</v>
      </c>
      <c r="I320" s="18">
        <v>1.1859</v>
      </c>
      <c r="J320" s="18">
        <v>0.6401</v>
      </c>
      <c r="K320" s="18">
        <v>1.7977000000000001</v>
      </c>
      <c r="L320" s="18">
        <v>0.52900000000000003</v>
      </c>
    </row>
    <row r="321" spans="1:12">
      <c r="A321" t="s">
        <v>556</v>
      </c>
      <c r="B321">
        <v>0.5</v>
      </c>
      <c r="C321">
        <v>64</v>
      </c>
      <c r="D321" t="b">
        <v>0</v>
      </c>
      <c r="E321" t="s">
        <v>547</v>
      </c>
      <c r="F321" t="s">
        <v>531</v>
      </c>
      <c r="G321" t="s">
        <v>0</v>
      </c>
      <c r="H321">
        <v>38</v>
      </c>
      <c r="I321">
        <v>0.64239999999999997</v>
      </c>
      <c r="J321">
        <v>0.81259999999999999</v>
      </c>
      <c r="K321">
        <v>1.8624000000000001</v>
      </c>
      <c r="L321">
        <v>0.52900000000000003</v>
      </c>
    </row>
    <row r="322" spans="1:12">
      <c r="A322" t="s">
        <v>528</v>
      </c>
      <c r="B322">
        <v>0.1</v>
      </c>
      <c r="C322">
        <v>128</v>
      </c>
      <c r="D322" s="1" t="b">
        <v>1</v>
      </c>
      <c r="E322" t="s">
        <v>548</v>
      </c>
      <c r="F322" t="s">
        <v>532</v>
      </c>
      <c r="G322" t="s">
        <v>1</v>
      </c>
      <c r="H322" s="11">
        <v>143</v>
      </c>
      <c r="I322" s="18">
        <v>0.69189999999999996</v>
      </c>
      <c r="J322" s="18">
        <v>0.79669999999999996</v>
      </c>
      <c r="K322" s="18">
        <v>1.87</v>
      </c>
      <c r="L322" s="18">
        <v>0.52900000000000003</v>
      </c>
    </row>
    <row r="323" spans="1:12">
      <c r="A323" t="s">
        <v>528</v>
      </c>
      <c r="B323">
        <v>0.5</v>
      </c>
      <c r="C323">
        <v>256</v>
      </c>
      <c r="D323" s="1" t="b">
        <v>0</v>
      </c>
      <c r="E323" t="s">
        <v>547</v>
      </c>
      <c r="F323" t="s">
        <v>531</v>
      </c>
      <c r="G323" t="s">
        <v>1</v>
      </c>
      <c r="H323" s="11">
        <v>171</v>
      </c>
      <c r="I323" s="18">
        <v>0.57240000000000002</v>
      </c>
      <c r="J323" s="18">
        <v>0.83289999999999997</v>
      </c>
      <c r="K323" s="18">
        <v>1.9710000000000001</v>
      </c>
      <c r="L323" s="18">
        <v>0.52900000000000003</v>
      </c>
    </row>
    <row r="324" spans="1:12">
      <c r="A324" t="s">
        <v>556</v>
      </c>
      <c r="B324">
        <v>0.1</v>
      </c>
      <c r="C324">
        <v>64</v>
      </c>
      <c r="D324" t="b">
        <v>0</v>
      </c>
      <c r="E324" t="s">
        <v>548</v>
      </c>
      <c r="F324" t="s">
        <v>532</v>
      </c>
      <c r="G324" t="s">
        <v>5</v>
      </c>
      <c r="H324">
        <v>30</v>
      </c>
      <c r="I324">
        <v>0.54820000000000002</v>
      </c>
      <c r="J324">
        <v>0.83640000000000003</v>
      </c>
      <c r="K324">
        <v>2.0055999999999998</v>
      </c>
      <c r="L324">
        <v>0.52900000000000003</v>
      </c>
    </row>
    <row r="325" spans="1:12">
      <c r="A325" t="s">
        <v>528</v>
      </c>
      <c r="B325">
        <v>0.1</v>
      </c>
      <c r="C325">
        <v>128</v>
      </c>
      <c r="D325" s="1" t="b">
        <v>1</v>
      </c>
      <c r="E325" t="s">
        <v>547</v>
      </c>
      <c r="F325" t="s">
        <v>531</v>
      </c>
      <c r="G325" t="s">
        <v>3</v>
      </c>
      <c r="H325" s="11">
        <v>147</v>
      </c>
      <c r="I325" s="18">
        <v>0.33689999999999998</v>
      </c>
      <c r="J325" s="18">
        <v>0.90300000000000002</v>
      </c>
      <c r="K325" s="18">
        <v>2.1103999999999998</v>
      </c>
      <c r="L325" s="18">
        <v>0.52900000000000003</v>
      </c>
    </row>
    <row r="326" spans="1:12">
      <c r="A326" t="s">
        <v>556</v>
      </c>
      <c r="B326">
        <v>0.1</v>
      </c>
      <c r="C326">
        <v>128</v>
      </c>
      <c r="D326" t="b">
        <v>0</v>
      </c>
      <c r="E326" t="s">
        <v>547</v>
      </c>
      <c r="F326" t="s">
        <v>531</v>
      </c>
      <c r="G326" t="s">
        <v>3</v>
      </c>
      <c r="H326">
        <v>60</v>
      </c>
      <c r="I326">
        <v>0.1986</v>
      </c>
      <c r="J326">
        <v>0.94130000000000003</v>
      </c>
      <c r="K326">
        <v>2.1442000000000001</v>
      </c>
      <c r="L326">
        <v>0.52900000000000003</v>
      </c>
    </row>
    <row r="327" spans="1:12">
      <c r="A327" t="s">
        <v>556</v>
      </c>
      <c r="B327">
        <v>0.1</v>
      </c>
      <c r="C327">
        <v>64</v>
      </c>
      <c r="D327" t="b">
        <v>0</v>
      </c>
      <c r="E327" t="s">
        <v>548</v>
      </c>
      <c r="F327" t="s">
        <v>531</v>
      </c>
      <c r="G327" t="s">
        <v>2</v>
      </c>
      <c r="H327">
        <v>30</v>
      </c>
      <c r="I327">
        <v>0.19939999999999999</v>
      </c>
      <c r="J327">
        <v>0.94569999999999999</v>
      </c>
      <c r="K327">
        <v>2.3062999999999998</v>
      </c>
      <c r="L327">
        <v>0.52900000000000003</v>
      </c>
    </row>
    <row r="328" spans="1:12">
      <c r="A328" t="s">
        <v>528</v>
      </c>
      <c r="B328">
        <v>0.5</v>
      </c>
      <c r="C328">
        <v>256</v>
      </c>
      <c r="D328" s="1" t="b">
        <v>1</v>
      </c>
      <c r="E328" t="s">
        <v>548</v>
      </c>
      <c r="F328" t="s">
        <v>532</v>
      </c>
      <c r="G328" t="s">
        <v>0</v>
      </c>
      <c r="H328" s="11">
        <v>285</v>
      </c>
      <c r="I328" s="18">
        <v>1.1585000000000001</v>
      </c>
      <c r="J328" s="18">
        <v>0.65339999999999998</v>
      </c>
      <c r="K328" s="18">
        <v>1.7465999999999999</v>
      </c>
      <c r="L328" s="18">
        <v>0.52849999999999997</v>
      </c>
    </row>
    <row r="329" spans="1:12">
      <c r="A329" t="s">
        <v>528</v>
      </c>
      <c r="B329">
        <v>0.1</v>
      </c>
      <c r="C329">
        <v>256</v>
      </c>
      <c r="D329" s="1" t="b">
        <v>1</v>
      </c>
      <c r="E329" t="s">
        <v>547</v>
      </c>
      <c r="F329" t="s">
        <v>532</v>
      </c>
      <c r="G329" t="s">
        <v>4</v>
      </c>
      <c r="H329" s="11">
        <v>290</v>
      </c>
      <c r="I329" s="18">
        <v>0.83520000000000005</v>
      </c>
      <c r="J329" s="18">
        <v>0.74990000000000001</v>
      </c>
      <c r="K329" s="18">
        <v>1.7523</v>
      </c>
      <c r="L329" s="18">
        <v>0.52849999999999997</v>
      </c>
    </row>
    <row r="330" spans="1:12">
      <c r="A330" t="s">
        <v>556</v>
      </c>
      <c r="B330">
        <v>0.1</v>
      </c>
      <c r="C330">
        <v>64</v>
      </c>
      <c r="D330" t="b">
        <v>0</v>
      </c>
      <c r="E330" t="s">
        <v>548</v>
      </c>
      <c r="F330" t="s">
        <v>532</v>
      </c>
      <c r="G330" t="s">
        <v>0</v>
      </c>
      <c r="H330">
        <v>30</v>
      </c>
      <c r="I330">
        <v>0.88400000000000001</v>
      </c>
      <c r="J330">
        <v>0.74060000000000004</v>
      </c>
      <c r="K330">
        <v>1.7849999999999999</v>
      </c>
      <c r="L330">
        <v>0.52849999999999997</v>
      </c>
    </row>
    <row r="331" spans="1:12">
      <c r="A331" t="s">
        <v>528</v>
      </c>
      <c r="B331">
        <v>0.3</v>
      </c>
      <c r="C331">
        <v>128</v>
      </c>
      <c r="D331" s="1" t="b">
        <v>1</v>
      </c>
      <c r="E331" t="s">
        <v>547</v>
      </c>
      <c r="F331" t="s">
        <v>532</v>
      </c>
      <c r="G331" t="s">
        <v>0</v>
      </c>
      <c r="H331" s="11">
        <v>142</v>
      </c>
      <c r="I331" s="18">
        <v>1.2405999999999999</v>
      </c>
      <c r="J331" s="18">
        <v>0.63219999999999998</v>
      </c>
      <c r="K331" s="18">
        <v>1.8104</v>
      </c>
      <c r="L331" s="18">
        <v>0.52849999999999997</v>
      </c>
    </row>
    <row r="332" spans="1:12">
      <c r="A332" t="s">
        <v>528</v>
      </c>
      <c r="B332">
        <v>0.5</v>
      </c>
      <c r="C332">
        <v>128</v>
      </c>
      <c r="D332" s="1" t="b">
        <v>1</v>
      </c>
      <c r="E332" t="s">
        <v>548</v>
      </c>
      <c r="F332" t="s">
        <v>531</v>
      </c>
      <c r="G332" t="s">
        <v>3</v>
      </c>
      <c r="H332" s="11">
        <v>137</v>
      </c>
      <c r="I332" s="18">
        <v>0.49159999999999998</v>
      </c>
      <c r="J332" s="18">
        <v>0.85429999999999995</v>
      </c>
      <c r="K332" s="18">
        <v>1.9957</v>
      </c>
      <c r="L332" s="18">
        <v>0.52849999999999997</v>
      </c>
    </row>
    <row r="333" spans="1:12">
      <c r="A333" t="s">
        <v>528</v>
      </c>
      <c r="B333">
        <v>0.1</v>
      </c>
      <c r="C333">
        <v>256</v>
      </c>
      <c r="D333" s="1" t="b">
        <v>1</v>
      </c>
      <c r="E333" t="s">
        <v>547</v>
      </c>
      <c r="F333" t="s">
        <v>531</v>
      </c>
      <c r="G333" t="s">
        <v>1</v>
      </c>
      <c r="H333" s="11">
        <v>288</v>
      </c>
      <c r="I333" s="18">
        <v>0.44400000000000001</v>
      </c>
      <c r="J333" s="18">
        <v>0.87090000000000001</v>
      </c>
      <c r="K333" s="18">
        <v>2.0133000000000001</v>
      </c>
      <c r="L333" s="18">
        <v>0.52849999999999997</v>
      </c>
    </row>
    <row r="334" spans="1:12">
      <c r="A334" t="s">
        <v>528</v>
      </c>
      <c r="B334">
        <v>0.5</v>
      </c>
      <c r="C334">
        <v>64</v>
      </c>
      <c r="D334" s="1" t="b">
        <v>0</v>
      </c>
      <c r="E334" t="s">
        <v>548</v>
      </c>
      <c r="F334" t="s">
        <v>531</v>
      </c>
      <c r="G334" t="s">
        <v>0</v>
      </c>
      <c r="H334" s="11">
        <v>51</v>
      </c>
      <c r="I334" s="18">
        <v>0.51139999999999997</v>
      </c>
      <c r="J334" s="18">
        <v>0.85529999999999995</v>
      </c>
      <c r="K334" s="18">
        <v>2.0245000000000002</v>
      </c>
      <c r="L334" s="18">
        <v>0.52849999999999997</v>
      </c>
    </row>
    <row r="335" spans="1:12">
      <c r="A335" t="s">
        <v>556</v>
      </c>
      <c r="B335">
        <v>0.1</v>
      </c>
      <c r="C335">
        <v>256</v>
      </c>
      <c r="D335" t="b">
        <v>0</v>
      </c>
      <c r="E335" t="s">
        <v>548</v>
      </c>
      <c r="F335" t="s">
        <v>531</v>
      </c>
      <c r="G335" t="s">
        <v>4</v>
      </c>
      <c r="H335">
        <v>118</v>
      </c>
      <c r="I335">
        <v>0.13469999999999999</v>
      </c>
      <c r="J335">
        <v>0.95960000000000001</v>
      </c>
      <c r="K335">
        <v>2.2364000000000002</v>
      </c>
      <c r="L335">
        <v>0.52849999999999997</v>
      </c>
    </row>
    <row r="336" spans="1:12">
      <c r="A336" t="s">
        <v>528</v>
      </c>
      <c r="B336">
        <v>0.3</v>
      </c>
      <c r="C336">
        <v>128</v>
      </c>
      <c r="D336" s="1" t="b">
        <v>0</v>
      </c>
      <c r="E336" t="s">
        <v>547</v>
      </c>
      <c r="F336" t="s">
        <v>531</v>
      </c>
      <c r="G336" t="s">
        <v>4</v>
      </c>
      <c r="H336" s="11">
        <v>72</v>
      </c>
      <c r="I336" s="18">
        <v>0.31869999999999998</v>
      </c>
      <c r="J336" s="18">
        <v>0.9103</v>
      </c>
      <c r="K336" s="18">
        <v>2.2465000000000002</v>
      </c>
      <c r="L336" s="18">
        <v>0.52849999999999997</v>
      </c>
    </row>
    <row r="337" spans="1:12">
      <c r="A337" t="s">
        <v>528</v>
      </c>
      <c r="B337">
        <v>0.5</v>
      </c>
      <c r="C337">
        <v>128</v>
      </c>
      <c r="D337" s="1" t="b">
        <v>1</v>
      </c>
      <c r="E337" t="s">
        <v>548</v>
      </c>
      <c r="F337" t="s">
        <v>532</v>
      </c>
      <c r="G337" t="s">
        <v>2</v>
      </c>
      <c r="H337" s="11">
        <v>142</v>
      </c>
      <c r="I337" s="18">
        <v>1.0499000000000001</v>
      </c>
      <c r="J337" s="18">
        <v>0.68730000000000002</v>
      </c>
      <c r="K337" s="18">
        <v>1.7334000000000001</v>
      </c>
      <c r="L337" s="18">
        <v>0.52800000000000002</v>
      </c>
    </row>
    <row r="338" spans="1:12">
      <c r="A338" t="s">
        <v>528</v>
      </c>
      <c r="B338">
        <v>0.5</v>
      </c>
      <c r="C338">
        <v>128</v>
      </c>
      <c r="D338" s="1" t="b">
        <v>1</v>
      </c>
      <c r="E338" t="s">
        <v>548</v>
      </c>
      <c r="F338" t="s">
        <v>532</v>
      </c>
      <c r="G338" t="s">
        <v>3</v>
      </c>
      <c r="H338" s="11">
        <v>141</v>
      </c>
      <c r="I338" s="18">
        <v>1.0263</v>
      </c>
      <c r="J338" s="18">
        <v>0.6946</v>
      </c>
      <c r="K338" s="18">
        <v>1.7751999999999999</v>
      </c>
      <c r="L338" s="18">
        <v>0.52800000000000002</v>
      </c>
    </row>
    <row r="339" spans="1:12">
      <c r="A339" t="s">
        <v>528</v>
      </c>
      <c r="B339">
        <v>0.3</v>
      </c>
      <c r="C339">
        <v>256</v>
      </c>
      <c r="D339" s="1" t="b">
        <v>1</v>
      </c>
      <c r="E339" t="s">
        <v>547</v>
      </c>
      <c r="F339" t="s">
        <v>532</v>
      </c>
      <c r="G339" t="s">
        <v>2</v>
      </c>
      <c r="H339" s="11">
        <v>300</v>
      </c>
      <c r="I339" s="18">
        <v>1.0549999999999999</v>
      </c>
      <c r="J339" s="18">
        <v>0.68589999999999995</v>
      </c>
      <c r="K339" s="18">
        <v>1.7757000000000001</v>
      </c>
      <c r="L339" s="18">
        <v>0.52800000000000002</v>
      </c>
    </row>
    <row r="340" spans="1:12">
      <c r="A340" t="s">
        <v>528</v>
      </c>
      <c r="B340">
        <v>0.5</v>
      </c>
      <c r="C340">
        <v>256</v>
      </c>
      <c r="D340" s="1" t="b">
        <v>0</v>
      </c>
      <c r="E340" t="s">
        <v>548</v>
      </c>
      <c r="F340" t="s">
        <v>531</v>
      </c>
      <c r="G340" t="s">
        <v>4</v>
      </c>
      <c r="H340" s="11">
        <v>142</v>
      </c>
      <c r="I340" s="18">
        <v>0.31309999999999999</v>
      </c>
      <c r="J340" s="18">
        <v>0.9103</v>
      </c>
      <c r="K340" s="18">
        <v>2.0794999999999999</v>
      </c>
      <c r="L340" s="18">
        <v>0.52800000000000002</v>
      </c>
    </row>
    <row r="341" spans="1:12">
      <c r="A341" t="s">
        <v>528</v>
      </c>
      <c r="B341">
        <v>0.1</v>
      </c>
      <c r="C341">
        <v>256</v>
      </c>
      <c r="D341" s="1" t="b">
        <v>0</v>
      </c>
      <c r="E341" t="s">
        <v>548</v>
      </c>
      <c r="F341" t="s">
        <v>531</v>
      </c>
      <c r="G341" t="s">
        <v>1</v>
      </c>
      <c r="H341" s="11">
        <v>137</v>
      </c>
      <c r="I341" s="18">
        <v>0.2515</v>
      </c>
      <c r="J341" s="18">
        <v>0.92659999999999998</v>
      </c>
      <c r="K341" s="18">
        <v>2.3170999999999999</v>
      </c>
      <c r="L341" s="18">
        <v>0.52800000000000002</v>
      </c>
    </row>
    <row r="342" spans="1:12">
      <c r="A342" t="s">
        <v>528</v>
      </c>
      <c r="B342">
        <v>0.5</v>
      </c>
      <c r="C342">
        <v>64</v>
      </c>
      <c r="D342" s="1" t="b">
        <v>1</v>
      </c>
      <c r="E342" t="s">
        <v>547</v>
      </c>
      <c r="F342" t="s">
        <v>532</v>
      </c>
      <c r="G342" t="s">
        <v>5</v>
      </c>
      <c r="H342" s="11">
        <v>73</v>
      </c>
      <c r="I342" s="18">
        <v>1.27</v>
      </c>
      <c r="J342" s="18">
        <v>0.62090000000000001</v>
      </c>
      <c r="K342" s="18">
        <v>1.7757000000000001</v>
      </c>
      <c r="L342" s="18">
        <v>0.52749999999999997</v>
      </c>
    </row>
    <row r="343" spans="1:12">
      <c r="A343" t="s">
        <v>528</v>
      </c>
      <c r="B343">
        <v>0.1</v>
      </c>
      <c r="C343">
        <v>128</v>
      </c>
      <c r="D343" s="1" t="b">
        <v>0</v>
      </c>
      <c r="E343" t="s">
        <v>547</v>
      </c>
      <c r="F343" t="s">
        <v>532</v>
      </c>
      <c r="G343" t="s">
        <v>0</v>
      </c>
      <c r="H343" s="11">
        <v>79</v>
      </c>
      <c r="I343" s="18">
        <v>1.2744</v>
      </c>
      <c r="J343" s="18">
        <v>0.62360000000000004</v>
      </c>
      <c r="K343" s="18">
        <v>1.7827</v>
      </c>
      <c r="L343" s="18">
        <v>0.52749999999999997</v>
      </c>
    </row>
    <row r="344" spans="1:12">
      <c r="A344" t="s">
        <v>528</v>
      </c>
      <c r="B344">
        <v>0.1</v>
      </c>
      <c r="C344">
        <v>128</v>
      </c>
      <c r="D344" s="1" t="b">
        <v>1</v>
      </c>
      <c r="E344" t="s">
        <v>548</v>
      </c>
      <c r="F344" t="s">
        <v>532</v>
      </c>
      <c r="G344" t="s">
        <v>2</v>
      </c>
      <c r="H344" s="11">
        <v>143</v>
      </c>
      <c r="I344" s="18">
        <v>0.6512</v>
      </c>
      <c r="J344" s="18">
        <v>0.80700000000000005</v>
      </c>
      <c r="K344" s="18">
        <v>1.8408</v>
      </c>
      <c r="L344" s="18">
        <v>0.52749999999999997</v>
      </c>
    </row>
    <row r="345" spans="1:12">
      <c r="A345" t="s">
        <v>528</v>
      </c>
      <c r="B345">
        <v>0.1</v>
      </c>
      <c r="C345">
        <v>64</v>
      </c>
      <c r="D345" s="1" t="b">
        <v>1</v>
      </c>
      <c r="E345" t="s">
        <v>547</v>
      </c>
      <c r="F345" t="s">
        <v>532</v>
      </c>
      <c r="G345" t="s">
        <v>5</v>
      </c>
      <c r="H345" s="11">
        <v>86</v>
      </c>
      <c r="I345" s="18">
        <v>0.85140000000000005</v>
      </c>
      <c r="J345" s="18">
        <v>0.74750000000000005</v>
      </c>
      <c r="K345" s="18">
        <v>1.8782000000000001</v>
      </c>
      <c r="L345" s="18">
        <v>0.52749999999999997</v>
      </c>
    </row>
    <row r="346" spans="1:12">
      <c r="A346" t="s">
        <v>528</v>
      </c>
      <c r="B346">
        <v>0.5</v>
      </c>
      <c r="C346">
        <v>128</v>
      </c>
      <c r="D346" s="1" t="b">
        <v>1</v>
      </c>
      <c r="E346" t="s">
        <v>548</v>
      </c>
      <c r="F346" t="s">
        <v>531</v>
      </c>
      <c r="G346" t="s">
        <v>1</v>
      </c>
      <c r="H346" s="11">
        <v>137</v>
      </c>
      <c r="I346" s="18">
        <v>0.5998</v>
      </c>
      <c r="J346" s="18">
        <v>0.82199999999999995</v>
      </c>
      <c r="K346" s="18">
        <v>2.0228000000000002</v>
      </c>
      <c r="L346" s="18">
        <v>0.52749999999999997</v>
      </c>
    </row>
    <row r="347" spans="1:12">
      <c r="A347" t="s">
        <v>556</v>
      </c>
      <c r="B347">
        <v>0.5</v>
      </c>
      <c r="C347">
        <v>128</v>
      </c>
      <c r="D347" t="b">
        <v>0</v>
      </c>
      <c r="E347" t="s">
        <v>548</v>
      </c>
      <c r="F347" t="s">
        <v>531</v>
      </c>
      <c r="G347" t="s">
        <v>2</v>
      </c>
      <c r="H347">
        <v>59</v>
      </c>
      <c r="I347">
        <v>0.34200000000000003</v>
      </c>
      <c r="J347">
        <v>0.89949999999999997</v>
      </c>
      <c r="K347">
        <v>2.0590999999999999</v>
      </c>
      <c r="L347">
        <v>0.52749999999999997</v>
      </c>
    </row>
    <row r="348" spans="1:12">
      <c r="A348" t="s">
        <v>528</v>
      </c>
      <c r="B348">
        <v>0.3</v>
      </c>
      <c r="C348">
        <v>64</v>
      </c>
      <c r="D348" s="1" t="b">
        <v>0</v>
      </c>
      <c r="E348" t="s">
        <v>547</v>
      </c>
      <c r="F348" t="s">
        <v>531</v>
      </c>
      <c r="G348" t="s">
        <v>0</v>
      </c>
      <c r="H348" s="11">
        <v>42</v>
      </c>
      <c r="I348" s="18">
        <v>0.52669999999999995</v>
      </c>
      <c r="J348" s="18">
        <v>0.85599999999999998</v>
      </c>
      <c r="K348" s="18">
        <v>2.0869</v>
      </c>
      <c r="L348" s="18">
        <v>0.52749999999999997</v>
      </c>
    </row>
    <row r="349" spans="1:12">
      <c r="A349" t="s">
        <v>528</v>
      </c>
      <c r="B349">
        <v>0.5</v>
      </c>
      <c r="C349">
        <v>128</v>
      </c>
      <c r="D349" s="1" t="b">
        <v>0</v>
      </c>
      <c r="E349" t="s">
        <v>548</v>
      </c>
      <c r="F349" t="s">
        <v>531</v>
      </c>
      <c r="G349" t="s">
        <v>3</v>
      </c>
      <c r="H349" s="11">
        <v>74</v>
      </c>
      <c r="I349" s="18">
        <v>0.3392</v>
      </c>
      <c r="J349" s="18">
        <v>0.89959999999999996</v>
      </c>
      <c r="K349" s="18">
        <v>2.0905</v>
      </c>
      <c r="L349" s="18">
        <v>0.52749999999999997</v>
      </c>
    </row>
    <row r="350" spans="1:12">
      <c r="A350" t="s">
        <v>556</v>
      </c>
      <c r="B350">
        <v>0.3</v>
      </c>
      <c r="C350">
        <v>128</v>
      </c>
      <c r="D350" t="b">
        <v>0</v>
      </c>
      <c r="E350" t="s">
        <v>548</v>
      </c>
      <c r="F350" t="s">
        <v>531</v>
      </c>
      <c r="G350" t="s">
        <v>3</v>
      </c>
      <c r="H350">
        <v>58</v>
      </c>
      <c r="I350">
        <v>0.20669999999999999</v>
      </c>
      <c r="J350">
        <v>0.93769999999999998</v>
      </c>
      <c r="K350">
        <v>2.2018</v>
      </c>
      <c r="L350">
        <v>0.52749999999999997</v>
      </c>
    </row>
    <row r="351" spans="1:12">
      <c r="A351" t="s">
        <v>528</v>
      </c>
      <c r="B351">
        <v>0.3</v>
      </c>
      <c r="C351">
        <v>64</v>
      </c>
      <c r="D351" s="1" t="b">
        <v>0</v>
      </c>
      <c r="E351" t="s">
        <v>547</v>
      </c>
      <c r="F351" t="s">
        <v>531</v>
      </c>
      <c r="G351" t="s">
        <v>2</v>
      </c>
      <c r="H351" s="11">
        <v>42</v>
      </c>
      <c r="I351" s="18">
        <v>0.4012</v>
      </c>
      <c r="J351" s="18">
        <v>0.89200000000000002</v>
      </c>
      <c r="K351" s="18">
        <v>2.2633999999999999</v>
      </c>
      <c r="L351" s="18">
        <v>0.52749999999999997</v>
      </c>
    </row>
    <row r="352" spans="1:12">
      <c r="A352" t="s">
        <v>528</v>
      </c>
      <c r="B352">
        <v>0.1</v>
      </c>
      <c r="C352">
        <v>64</v>
      </c>
      <c r="D352" s="1" t="b">
        <v>0</v>
      </c>
      <c r="E352" t="s">
        <v>547</v>
      </c>
      <c r="F352" t="s">
        <v>531</v>
      </c>
      <c r="G352" t="s">
        <v>3</v>
      </c>
      <c r="H352" s="11">
        <v>42</v>
      </c>
      <c r="I352" s="18">
        <v>0.253</v>
      </c>
      <c r="J352" s="18">
        <v>0.93310000000000004</v>
      </c>
      <c r="K352" s="18">
        <v>2.4039000000000001</v>
      </c>
      <c r="L352" s="18">
        <v>0.52749999999999997</v>
      </c>
    </row>
    <row r="353" spans="1:12">
      <c r="A353" t="s">
        <v>528</v>
      </c>
      <c r="B353">
        <v>0.5</v>
      </c>
      <c r="C353">
        <v>256</v>
      </c>
      <c r="D353" s="1" t="b">
        <v>0</v>
      </c>
      <c r="E353" t="s">
        <v>548</v>
      </c>
      <c r="F353" t="s">
        <v>532</v>
      </c>
      <c r="G353" t="s">
        <v>1</v>
      </c>
      <c r="H353" s="11">
        <v>140</v>
      </c>
      <c r="I353" s="18">
        <v>1.1359999999999999</v>
      </c>
      <c r="J353" s="18">
        <v>0.66259999999999997</v>
      </c>
      <c r="K353" s="18">
        <v>1.6869000000000001</v>
      </c>
      <c r="L353" s="18">
        <v>0.52700000000000002</v>
      </c>
    </row>
    <row r="354" spans="1:12">
      <c r="A354" t="s">
        <v>528</v>
      </c>
      <c r="B354">
        <v>0.1</v>
      </c>
      <c r="C354">
        <v>256</v>
      </c>
      <c r="D354" s="1" t="b">
        <v>1</v>
      </c>
      <c r="E354" t="s">
        <v>547</v>
      </c>
      <c r="F354" t="s">
        <v>532</v>
      </c>
      <c r="G354" t="s">
        <v>3</v>
      </c>
      <c r="H354" s="11">
        <v>289</v>
      </c>
      <c r="I354" s="18">
        <v>0.89349999999999996</v>
      </c>
      <c r="J354" s="18">
        <v>0.72850000000000004</v>
      </c>
      <c r="K354" s="18">
        <v>1.7851999999999999</v>
      </c>
      <c r="L354" s="18">
        <v>0.52700000000000002</v>
      </c>
    </row>
    <row r="355" spans="1:12">
      <c r="A355" t="s">
        <v>528</v>
      </c>
      <c r="B355">
        <v>0.3</v>
      </c>
      <c r="C355">
        <v>128</v>
      </c>
      <c r="D355" s="1" t="b">
        <v>1</v>
      </c>
      <c r="E355" t="s">
        <v>548</v>
      </c>
      <c r="F355" t="s">
        <v>532</v>
      </c>
      <c r="G355" t="s">
        <v>5</v>
      </c>
      <c r="H355" s="11">
        <v>141</v>
      </c>
      <c r="I355" s="18">
        <v>0.65100000000000002</v>
      </c>
      <c r="J355" s="18">
        <v>0.80910000000000004</v>
      </c>
      <c r="K355" s="18">
        <v>1.8492</v>
      </c>
      <c r="L355" s="18">
        <v>0.52700000000000002</v>
      </c>
    </row>
    <row r="356" spans="1:12">
      <c r="A356" t="s">
        <v>528</v>
      </c>
      <c r="B356">
        <v>0.1</v>
      </c>
      <c r="C356">
        <v>256</v>
      </c>
      <c r="D356" s="1" t="b">
        <v>1</v>
      </c>
      <c r="E356" t="s">
        <v>548</v>
      </c>
      <c r="F356" t="s">
        <v>532</v>
      </c>
      <c r="G356" t="s">
        <v>4</v>
      </c>
      <c r="H356" s="11">
        <v>284</v>
      </c>
      <c r="I356" s="18">
        <v>0.57310000000000005</v>
      </c>
      <c r="J356" s="18">
        <v>0.82950000000000002</v>
      </c>
      <c r="K356" s="18">
        <v>1.8969</v>
      </c>
      <c r="L356" s="18">
        <v>0.52700000000000002</v>
      </c>
    </row>
    <row r="357" spans="1:12">
      <c r="A357" t="s">
        <v>528</v>
      </c>
      <c r="B357">
        <v>0.5</v>
      </c>
      <c r="C357">
        <v>256</v>
      </c>
      <c r="D357" s="1" t="b">
        <v>0</v>
      </c>
      <c r="E357" t="s">
        <v>548</v>
      </c>
      <c r="F357" t="s">
        <v>531</v>
      </c>
      <c r="G357" t="s">
        <v>3</v>
      </c>
      <c r="H357" s="11">
        <v>167</v>
      </c>
      <c r="I357" s="18">
        <v>0.37819999999999998</v>
      </c>
      <c r="J357" s="18">
        <v>0.88690000000000002</v>
      </c>
      <c r="K357" s="18">
        <v>1.9971000000000001</v>
      </c>
      <c r="L357" s="18">
        <v>0.52700000000000002</v>
      </c>
    </row>
    <row r="358" spans="1:12">
      <c r="A358" t="s">
        <v>528</v>
      </c>
      <c r="B358">
        <v>0.5</v>
      </c>
      <c r="C358">
        <v>128</v>
      </c>
      <c r="D358" s="1" t="b">
        <v>0</v>
      </c>
      <c r="E358" t="s">
        <v>547</v>
      </c>
      <c r="F358" t="s">
        <v>531</v>
      </c>
      <c r="G358" t="s">
        <v>2</v>
      </c>
      <c r="H358" s="11">
        <v>76</v>
      </c>
      <c r="I358" s="18">
        <v>0.53220000000000001</v>
      </c>
      <c r="J358" s="18">
        <v>0.84799999999999998</v>
      </c>
      <c r="K358" s="18">
        <v>2.0154000000000001</v>
      </c>
      <c r="L358" s="18">
        <v>0.52700000000000002</v>
      </c>
    </row>
    <row r="359" spans="1:12">
      <c r="A359" t="s">
        <v>556</v>
      </c>
      <c r="B359">
        <v>0.5</v>
      </c>
      <c r="C359">
        <v>64</v>
      </c>
      <c r="D359" t="b">
        <v>0</v>
      </c>
      <c r="E359" t="s">
        <v>548</v>
      </c>
      <c r="F359" t="s">
        <v>531</v>
      </c>
      <c r="G359" t="s">
        <v>0</v>
      </c>
      <c r="H359">
        <v>37</v>
      </c>
      <c r="I359">
        <v>0.46610000000000001</v>
      </c>
      <c r="J359">
        <v>0.86519999999999997</v>
      </c>
      <c r="K359">
        <v>2.1118000000000001</v>
      </c>
      <c r="L359">
        <v>0.52700000000000002</v>
      </c>
    </row>
    <row r="360" spans="1:12">
      <c r="A360" t="s">
        <v>556</v>
      </c>
      <c r="B360">
        <v>0.1</v>
      </c>
      <c r="C360">
        <v>256</v>
      </c>
      <c r="D360" t="b">
        <v>0</v>
      </c>
      <c r="E360" t="s">
        <v>547</v>
      </c>
      <c r="F360" t="s">
        <v>531</v>
      </c>
      <c r="G360" t="s">
        <v>1</v>
      </c>
      <c r="H360">
        <v>116</v>
      </c>
      <c r="I360">
        <v>0.23089999999999999</v>
      </c>
      <c r="J360">
        <v>0.93269999999999997</v>
      </c>
      <c r="K360">
        <v>2.1202999999999999</v>
      </c>
      <c r="L360">
        <v>0.52700000000000002</v>
      </c>
    </row>
    <row r="361" spans="1:12">
      <c r="A361" t="s">
        <v>528</v>
      </c>
      <c r="B361">
        <v>0.5</v>
      </c>
      <c r="C361">
        <v>64</v>
      </c>
      <c r="D361" s="1" t="b">
        <v>0</v>
      </c>
      <c r="E361" t="s">
        <v>548</v>
      </c>
      <c r="F361" t="s">
        <v>531</v>
      </c>
      <c r="G361" t="s">
        <v>4</v>
      </c>
      <c r="H361" s="11">
        <v>49</v>
      </c>
      <c r="I361" s="18">
        <v>0.31850000000000001</v>
      </c>
      <c r="J361" s="18">
        <v>0.91200000000000003</v>
      </c>
      <c r="K361" s="18">
        <v>2.2063000000000001</v>
      </c>
      <c r="L361" s="18">
        <v>0.52700000000000002</v>
      </c>
    </row>
    <row r="362" spans="1:12">
      <c r="A362" t="s">
        <v>528</v>
      </c>
      <c r="B362">
        <v>0.3</v>
      </c>
      <c r="C362">
        <v>256</v>
      </c>
      <c r="D362" s="1" t="b">
        <v>1</v>
      </c>
      <c r="E362" t="s">
        <v>547</v>
      </c>
      <c r="F362" t="s">
        <v>532</v>
      </c>
      <c r="G362" t="s">
        <v>3</v>
      </c>
      <c r="H362" s="11">
        <v>301</v>
      </c>
      <c r="I362" s="18">
        <v>0.98270000000000002</v>
      </c>
      <c r="J362" s="18">
        <v>0.70489999999999997</v>
      </c>
      <c r="K362" s="18">
        <v>1.7484999999999999</v>
      </c>
      <c r="L362" s="18">
        <v>0.52649999999999997</v>
      </c>
    </row>
    <row r="363" spans="1:12">
      <c r="A363" t="s">
        <v>528</v>
      </c>
      <c r="B363">
        <v>0.1</v>
      </c>
      <c r="C363">
        <v>64</v>
      </c>
      <c r="D363" s="1" t="b">
        <v>0</v>
      </c>
      <c r="E363" t="s">
        <v>548</v>
      </c>
      <c r="F363" t="s">
        <v>532</v>
      </c>
      <c r="G363" t="s">
        <v>2</v>
      </c>
      <c r="H363" s="11">
        <v>48</v>
      </c>
      <c r="I363" s="18">
        <v>0.78910000000000002</v>
      </c>
      <c r="J363" s="18">
        <v>0.77339999999999998</v>
      </c>
      <c r="K363" s="18">
        <v>1.8193999999999999</v>
      </c>
      <c r="L363" s="18">
        <v>0.52649999999999997</v>
      </c>
    </row>
    <row r="364" spans="1:12">
      <c r="A364" t="s">
        <v>528</v>
      </c>
      <c r="B364">
        <v>0.3</v>
      </c>
      <c r="C364">
        <v>64</v>
      </c>
      <c r="D364" s="1" t="b">
        <v>1</v>
      </c>
      <c r="E364" t="s">
        <v>548</v>
      </c>
      <c r="F364" t="s">
        <v>532</v>
      </c>
      <c r="G364" t="s">
        <v>1</v>
      </c>
      <c r="H364" s="11">
        <v>73</v>
      </c>
      <c r="I364" s="18">
        <v>0.89219999999999999</v>
      </c>
      <c r="J364" s="18">
        <v>0.74199999999999999</v>
      </c>
      <c r="K364" s="18">
        <v>1.8194999999999999</v>
      </c>
      <c r="L364" s="18">
        <v>0.52649999999999997</v>
      </c>
    </row>
    <row r="365" spans="1:12">
      <c r="A365" t="s">
        <v>528</v>
      </c>
      <c r="B365">
        <v>0.5</v>
      </c>
      <c r="C365">
        <v>128</v>
      </c>
      <c r="D365" s="1" t="b">
        <v>0</v>
      </c>
      <c r="E365" t="s">
        <v>547</v>
      </c>
      <c r="F365" t="s">
        <v>531</v>
      </c>
      <c r="G365" t="s">
        <v>0</v>
      </c>
      <c r="H365" s="11">
        <v>76</v>
      </c>
      <c r="I365" s="18">
        <v>0.63839999999999997</v>
      </c>
      <c r="J365" s="18">
        <v>0.81710000000000005</v>
      </c>
      <c r="K365" s="18">
        <v>1.9360999999999999</v>
      </c>
      <c r="L365" s="18">
        <v>0.52649999999999997</v>
      </c>
    </row>
    <row r="366" spans="1:12">
      <c r="A366" t="s">
        <v>556</v>
      </c>
      <c r="B366">
        <v>0.3</v>
      </c>
      <c r="C366">
        <v>256</v>
      </c>
      <c r="D366" t="b">
        <v>0</v>
      </c>
      <c r="E366" t="s">
        <v>548</v>
      </c>
      <c r="F366" t="s">
        <v>531</v>
      </c>
      <c r="G366" t="s">
        <v>4</v>
      </c>
      <c r="H366">
        <v>114</v>
      </c>
      <c r="I366">
        <v>0.18490000000000001</v>
      </c>
      <c r="J366">
        <v>0.94489999999999996</v>
      </c>
      <c r="K366">
        <v>2.1652</v>
      </c>
      <c r="L366">
        <v>0.52649999999999997</v>
      </c>
    </row>
    <row r="367" spans="1:12">
      <c r="A367" t="s">
        <v>556</v>
      </c>
      <c r="B367">
        <v>0.5</v>
      </c>
      <c r="C367">
        <v>64</v>
      </c>
      <c r="D367" t="b">
        <v>0</v>
      </c>
      <c r="E367" t="s">
        <v>548</v>
      </c>
      <c r="F367" t="s">
        <v>531</v>
      </c>
      <c r="G367" t="s">
        <v>5</v>
      </c>
      <c r="H367">
        <v>37</v>
      </c>
      <c r="I367">
        <v>0.2979</v>
      </c>
      <c r="J367">
        <v>0.91679999999999995</v>
      </c>
      <c r="K367">
        <v>2.2883</v>
      </c>
      <c r="L367">
        <v>0.52649999999999997</v>
      </c>
    </row>
    <row r="368" spans="1:12">
      <c r="A368" t="s">
        <v>528</v>
      </c>
      <c r="B368">
        <v>0.5</v>
      </c>
      <c r="C368">
        <v>64</v>
      </c>
      <c r="D368" s="1" t="b">
        <v>0</v>
      </c>
      <c r="E368" t="s">
        <v>547</v>
      </c>
      <c r="F368" t="s">
        <v>531</v>
      </c>
      <c r="G368" t="s">
        <v>5</v>
      </c>
      <c r="H368" s="11">
        <v>51</v>
      </c>
      <c r="I368" s="18">
        <v>0.40029999999999999</v>
      </c>
      <c r="J368" s="18">
        <v>0.88849999999999996</v>
      </c>
      <c r="K368" s="18">
        <v>2.3140000000000001</v>
      </c>
      <c r="L368" s="18">
        <v>0.52649999999999997</v>
      </c>
    </row>
    <row r="369" spans="1:12">
      <c r="A369" t="s">
        <v>528</v>
      </c>
      <c r="B369">
        <v>0.3</v>
      </c>
      <c r="C369">
        <v>64</v>
      </c>
      <c r="D369" s="1" t="b">
        <v>0</v>
      </c>
      <c r="E369" t="s">
        <v>548</v>
      </c>
      <c r="F369" t="s">
        <v>531</v>
      </c>
      <c r="G369" t="s">
        <v>2</v>
      </c>
      <c r="H369" s="11">
        <v>42</v>
      </c>
      <c r="I369" s="18">
        <v>0.30620000000000003</v>
      </c>
      <c r="J369" s="18">
        <v>0.91759999999999997</v>
      </c>
      <c r="K369" s="18">
        <v>2.3365999999999998</v>
      </c>
      <c r="L369" s="18">
        <v>0.52649999999999997</v>
      </c>
    </row>
    <row r="370" spans="1:12">
      <c r="A370" t="s">
        <v>528</v>
      </c>
      <c r="B370">
        <v>0.1</v>
      </c>
      <c r="C370">
        <v>128</v>
      </c>
      <c r="D370" s="1" t="b">
        <v>0</v>
      </c>
      <c r="E370" t="s">
        <v>548</v>
      </c>
      <c r="F370" t="s">
        <v>531</v>
      </c>
      <c r="G370" t="s">
        <v>2</v>
      </c>
      <c r="H370" s="11">
        <v>73</v>
      </c>
      <c r="I370" s="18">
        <v>0.22439999999999999</v>
      </c>
      <c r="J370" s="18">
        <v>0.93600000000000005</v>
      </c>
      <c r="K370" s="18">
        <v>2.3662000000000001</v>
      </c>
      <c r="L370" s="18">
        <v>0.52649999999999997</v>
      </c>
    </row>
    <row r="371" spans="1:12">
      <c r="A371" t="s">
        <v>528</v>
      </c>
      <c r="B371">
        <v>0.1</v>
      </c>
      <c r="C371">
        <v>128</v>
      </c>
      <c r="D371" s="1" t="b">
        <v>1</v>
      </c>
      <c r="E371" t="s">
        <v>547</v>
      </c>
      <c r="F371" t="s">
        <v>532</v>
      </c>
      <c r="G371" t="s">
        <v>1</v>
      </c>
      <c r="H371" s="11">
        <v>153</v>
      </c>
      <c r="I371" s="18">
        <v>1.0547</v>
      </c>
      <c r="J371" s="18">
        <v>0.6865</v>
      </c>
      <c r="K371" s="18">
        <v>1.7659</v>
      </c>
      <c r="L371" s="18">
        <v>0.52600000000000002</v>
      </c>
    </row>
    <row r="372" spans="1:12">
      <c r="A372" t="s">
        <v>528</v>
      </c>
      <c r="B372">
        <v>0.5</v>
      </c>
      <c r="C372">
        <v>256</v>
      </c>
      <c r="D372" s="1" t="b">
        <v>0</v>
      </c>
      <c r="E372" t="s">
        <v>547</v>
      </c>
      <c r="F372" t="s">
        <v>532</v>
      </c>
      <c r="G372" t="s">
        <v>3</v>
      </c>
      <c r="H372" s="11">
        <v>173</v>
      </c>
      <c r="I372" s="18">
        <v>1.2394000000000001</v>
      </c>
      <c r="J372" s="18">
        <v>0.63300000000000001</v>
      </c>
      <c r="K372" s="18">
        <v>1.7694000000000001</v>
      </c>
      <c r="L372" s="18">
        <v>0.52600000000000002</v>
      </c>
    </row>
    <row r="373" spans="1:12">
      <c r="A373" t="s">
        <v>528</v>
      </c>
      <c r="B373">
        <v>0.3</v>
      </c>
      <c r="C373">
        <v>64</v>
      </c>
      <c r="D373" s="1" t="b">
        <v>1</v>
      </c>
      <c r="E373" t="s">
        <v>547</v>
      </c>
      <c r="F373" t="s">
        <v>532</v>
      </c>
      <c r="G373" t="s">
        <v>1</v>
      </c>
      <c r="H373" s="11">
        <v>72</v>
      </c>
      <c r="I373" s="18">
        <v>1.2603</v>
      </c>
      <c r="J373" s="18">
        <v>0.62239999999999995</v>
      </c>
      <c r="K373" s="18">
        <v>1.7773000000000001</v>
      </c>
      <c r="L373" s="18">
        <v>0.52600000000000002</v>
      </c>
    </row>
    <row r="374" spans="1:12">
      <c r="A374" t="s">
        <v>528</v>
      </c>
      <c r="B374">
        <v>0.5</v>
      </c>
      <c r="C374">
        <v>64</v>
      </c>
      <c r="D374" s="1" t="b">
        <v>0</v>
      </c>
      <c r="E374" t="s">
        <v>548</v>
      </c>
      <c r="F374" t="s">
        <v>532</v>
      </c>
      <c r="G374" t="s">
        <v>0</v>
      </c>
      <c r="H374" s="11">
        <v>48</v>
      </c>
      <c r="I374" s="18">
        <v>1.1737</v>
      </c>
      <c r="J374" s="18">
        <v>0.65290000000000004</v>
      </c>
      <c r="K374" s="18">
        <v>1.8018000000000001</v>
      </c>
      <c r="L374" s="18">
        <v>0.52600000000000002</v>
      </c>
    </row>
    <row r="375" spans="1:12">
      <c r="A375" t="s">
        <v>556</v>
      </c>
      <c r="B375">
        <v>0.1</v>
      </c>
      <c r="C375">
        <v>64</v>
      </c>
      <c r="D375" t="b">
        <v>0</v>
      </c>
      <c r="E375" t="s">
        <v>548</v>
      </c>
      <c r="F375" t="s">
        <v>532</v>
      </c>
      <c r="G375" t="s">
        <v>4</v>
      </c>
      <c r="H375">
        <v>30</v>
      </c>
      <c r="I375">
        <v>0.60240000000000005</v>
      </c>
      <c r="J375">
        <v>0.8286</v>
      </c>
      <c r="K375">
        <v>1.9387000000000001</v>
      </c>
      <c r="L375">
        <v>0.52600000000000002</v>
      </c>
    </row>
    <row r="376" spans="1:12">
      <c r="A376" t="s">
        <v>528</v>
      </c>
      <c r="B376">
        <v>0.5</v>
      </c>
      <c r="C376">
        <v>64</v>
      </c>
      <c r="D376" s="1" t="b">
        <v>1</v>
      </c>
      <c r="E376" t="s">
        <v>547</v>
      </c>
      <c r="F376" t="s">
        <v>531</v>
      </c>
      <c r="G376" t="s">
        <v>3</v>
      </c>
      <c r="H376" s="11">
        <v>69</v>
      </c>
      <c r="I376" s="18">
        <v>0.73050000000000004</v>
      </c>
      <c r="J376" s="18">
        <v>0.78700000000000003</v>
      </c>
      <c r="K376" s="18">
        <v>1.9729000000000001</v>
      </c>
      <c r="L376" s="18">
        <v>0.52600000000000002</v>
      </c>
    </row>
    <row r="377" spans="1:12">
      <c r="A377" t="s">
        <v>556</v>
      </c>
      <c r="B377">
        <v>0.1</v>
      </c>
      <c r="C377">
        <v>64</v>
      </c>
      <c r="D377" t="b">
        <v>0</v>
      </c>
      <c r="E377" t="s">
        <v>548</v>
      </c>
      <c r="F377" t="s">
        <v>531</v>
      </c>
      <c r="G377" t="s">
        <v>0</v>
      </c>
      <c r="H377">
        <v>30</v>
      </c>
      <c r="I377">
        <v>0.26069999999999999</v>
      </c>
      <c r="J377">
        <v>0.92689999999999995</v>
      </c>
      <c r="K377">
        <v>2.1814</v>
      </c>
      <c r="L377">
        <v>0.52600000000000002</v>
      </c>
    </row>
    <row r="378" spans="1:12">
      <c r="A378" t="s">
        <v>556</v>
      </c>
      <c r="B378">
        <v>0.3</v>
      </c>
      <c r="C378">
        <v>256</v>
      </c>
      <c r="D378" t="b">
        <v>0</v>
      </c>
      <c r="E378" t="s">
        <v>548</v>
      </c>
      <c r="F378" t="s">
        <v>531</v>
      </c>
      <c r="G378" t="s">
        <v>5</v>
      </c>
      <c r="H378">
        <v>115</v>
      </c>
      <c r="I378">
        <v>0.16309999999999999</v>
      </c>
      <c r="J378">
        <v>0.95089999999999997</v>
      </c>
      <c r="K378">
        <v>2.2416</v>
      </c>
      <c r="L378">
        <v>0.52600000000000002</v>
      </c>
    </row>
    <row r="379" spans="1:12">
      <c r="A379" t="s">
        <v>556</v>
      </c>
      <c r="B379">
        <v>0.1</v>
      </c>
      <c r="C379">
        <v>64</v>
      </c>
      <c r="D379" t="b">
        <v>0</v>
      </c>
      <c r="E379" t="s">
        <v>548</v>
      </c>
      <c r="F379" t="s">
        <v>532</v>
      </c>
      <c r="G379" t="s">
        <v>2</v>
      </c>
      <c r="H379">
        <v>30</v>
      </c>
      <c r="I379">
        <v>0.7248</v>
      </c>
      <c r="J379">
        <v>0.79200000000000004</v>
      </c>
      <c r="K379">
        <v>1.9414</v>
      </c>
      <c r="L379">
        <v>0.52549999999999997</v>
      </c>
    </row>
    <row r="380" spans="1:12">
      <c r="A380" t="s">
        <v>528</v>
      </c>
      <c r="B380">
        <v>0.5</v>
      </c>
      <c r="C380">
        <v>64</v>
      </c>
      <c r="D380" s="1" t="b">
        <v>1</v>
      </c>
      <c r="E380" t="s">
        <v>548</v>
      </c>
      <c r="F380" t="s">
        <v>531</v>
      </c>
      <c r="G380" t="s">
        <v>2</v>
      </c>
      <c r="H380" s="11">
        <v>68</v>
      </c>
      <c r="I380" s="18">
        <v>0.62050000000000005</v>
      </c>
      <c r="J380" s="18">
        <v>0.8196</v>
      </c>
      <c r="K380" s="18">
        <v>1.9851000000000001</v>
      </c>
      <c r="L380" s="18">
        <v>0.52549999999999997</v>
      </c>
    </row>
    <row r="381" spans="1:12">
      <c r="A381" t="s">
        <v>556</v>
      </c>
      <c r="B381">
        <v>0.5</v>
      </c>
      <c r="C381">
        <v>256</v>
      </c>
      <c r="D381" t="b">
        <v>0</v>
      </c>
      <c r="E381" t="s">
        <v>547</v>
      </c>
      <c r="F381" t="s">
        <v>531</v>
      </c>
      <c r="G381" t="s">
        <v>5</v>
      </c>
      <c r="H381">
        <v>119</v>
      </c>
      <c r="I381">
        <v>0.25090000000000001</v>
      </c>
      <c r="J381">
        <v>0.92769999999999997</v>
      </c>
      <c r="K381">
        <v>2.0655000000000001</v>
      </c>
      <c r="L381">
        <v>0.52549999999999997</v>
      </c>
    </row>
    <row r="382" spans="1:12">
      <c r="A382" t="s">
        <v>528</v>
      </c>
      <c r="B382">
        <v>0.1</v>
      </c>
      <c r="C382">
        <v>256</v>
      </c>
      <c r="D382" s="1" t="b">
        <v>1</v>
      </c>
      <c r="E382" t="s">
        <v>548</v>
      </c>
      <c r="F382" t="s">
        <v>531</v>
      </c>
      <c r="G382" t="s">
        <v>2</v>
      </c>
      <c r="H382" s="11">
        <v>277</v>
      </c>
      <c r="I382" s="18">
        <v>0.27410000000000001</v>
      </c>
      <c r="J382" s="18">
        <v>0.91800000000000004</v>
      </c>
      <c r="K382" s="18">
        <v>2.1659000000000002</v>
      </c>
      <c r="L382" s="18">
        <v>0.52549999999999997</v>
      </c>
    </row>
    <row r="383" spans="1:12">
      <c r="A383" t="s">
        <v>556</v>
      </c>
      <c r="B383">
        <v>0.3</v>
      </c>
      <c r="C383">
        <v>128</v>
      </c>
      <c r="D383" t="b">
        <v>0</v>
      </c>
      <c r="E383" t="s">
        <v>547</v>
      </c>
      <c r="F383" t="s">
        <v>531</v>
      </c>
      <c r="G383" t="s">
        <v>5</v>
      </c>
      <c r="H383">
        <v>64</v>
      </c>
      <c r="I383">
        <v>0.18920000000000001</v>
      </c>
      <c r="J383">
        <v>0.94510000000000005</v>
      </c>
      <c r="K383">
        <v>2.1957</v>
      </c>
      <c r="L383">
        <v>0.52549999999999997</v>
      </c>
    </row>
    <row r="384" spans="1:12">
      <c r="A384" t="s">
        <v>528</v>
      </c>
      <c r="B384">
        <v>0.1</v>
      </c>
      <c r="C384">
        <v>64</v>
      </c>
      <c r="D384" s="1" t="b">
        <v>0</v>
      </c>
      <c r="E384" t="s">
        <v>548</v>
      </c>
      <c r="F384" t="s">
        <v>531</v>
      </c>
      <c r="G384" t="s">
        <v>1</v>
      </c>
      <c r="H384" s="11">
        <v>50</v>
      </c>
      <c r="I384" s="18">
        <v>0.28239999999999998</v>
      </c>
      <c r="J384" s="18">
        <v>0.92390000000000005</v>
      </c>
      <c r="K384" s="18">
        <v>2.3367</v>
      </c>
      <c r="L384" s="18">
        <v>0.52549999999999997</v>
      </c>
    </row>
    <row r="385" spans="1:12">
      <c r="A385" t="s">
        <v>528</v>
      </c>
      <c r="B385">
        <v>0.3</v>
      </c>
      <c r="C385">
        <v>128</v>
      </c>
      <c r="D385" s="1" t="b">
        <v>0</v>
      </c>
      <c r="E385" t="s">
        <v>547</v>
      </c>
      <c r="F385" t="s">
        <v>532</v>
      </c>
      <c r="G385" t="s">
        <v>0</v>
      </c>
      <c r="H385" s="11">
        <v>70</v>
      </c>
      <c r="I385" s="18">
        <v>1.4016999999999999</v>
      </c>
      <c r="J385" s="18">
        <v>0.56540000000000001</v>
      </c>
      <c r="K385" s="18">
        <v>1.7690999999999999</v>
      </c>
      <c r="L385" s="18">
        <v>0.52500000000000002</v>
      </c>
    </row>
    <row r="386" spans="1:12">
      <c r="A386" t="s">
        <v>556</v>
      </c>
      <c r="B386">
        <v>0.3</v>
      </c>
      <c r="C386">
        <v>64</v>
      </c>
      <c r="D386" t="b">
        <v>0</v>
      </c>
      <c r="E386" t="s">
        <v>547</v>
      </c>
      <c r="F386" t="s">
        <v>531</v>
      </c>
      <c r="G386" t="s">
        <v>0</v>
      </c>
      <c r="H386">
        <v>36</v>
      </c>
      <c r="I386">
        <v>0.43580000000000002</v>
      </c>
      <c r="J386">
        <v>0.88080000000000003</v>
      </c>
      <c r="K386">
        <v>1.9365000000000001</v>
      </c>
      <c r="L386">
        <v>0.52500000000000002</v>
      </c>
    </row>
    <row r="387" spans="1:12">
      <c r="A387" t="s">
        <v>528</v>
      </c>
      <c r="B387">
        <v>0.3</v>
      </c>
      <c r="C387">
        <v>128</v>
      </c>
      <c r="D387" s="1" t="b">
        <v>0</v>
      </c>
      <c r="E387" t="s">
        <v>548</v>
      </c>
      <c r="F387" t="s">
        <v>531</v>
      </c>
      <c r="G387" t="s">
        <v>1</v>
      </c>
      <c r="H387" s="11">
        <v>74</v>
      </c>
      <c r="I387" s="18">
        <v>0.34029999999999999</v>
      </c>
      <c r="J387" s="18">
        <v>0.90139999999999998</v>
      </c>
      <c r="K387" s="18">
        <v>2.1183999999999998</v>
      </c>
      <c r="L387" s="18">
        <v>0.52500000000000002</v>
      </c>
    </row>
    <row r="388" spans="1:12">
      <c r="A388" t="s">
        <v>556</v>
      </c>
      <c r="B388">
        <v>0.5</v>
      </c>
      <c r="C388">
        <v>64</v>
      </c>
      <c r="D388" t="b">
        <v>0</v>
      </c>
      <c r="E388" t="s">
        <v>548</v>
      </c>
      <c r="F388" t="s">
        <v>531</v>
      </c>
      <c r="G388" t="s">
        <v>4</v>
      </c>
      <c r="H388">
        <v>37</v>
      </c>
      <c r="I388">
        <v>0.32269999999999999</v>
      </c>
      <c r="J388">
        <v>0.90500000000000003</v>
      </c>
      <c r="K388">
        <v>2.2625999999999999</v>
      </c>
      <c r="L388">
        <v>0.52500000000000002</v>
      </c>
    </row>
    <row r="389" spans="1:12">
      <c r="A389" t="s">
        <v>556</v>
      </c>
      <c r="B389">
        <v>0.1</v>
      </c>
      <c r="C389">
        <v>256</v>
      </c>
      <c r="D389" t="b">
        <v>0</v>
      </c>
      <c r="E389" t="s">
        <v>547</v>
      </c>
      <c r="F389" t="s">
        <v>531</v>
      </c>
      <c r="G389" t="s">
        <v>5</v>
      </c>
      <c r="H389">
        <v>116</v>
      </c>
      <c r="I389">
        <v>0.14480000000000001</v>
      </c>
      <c r="J389">
        <v>0.9556</v>
      </c>
      <c r="K389">
        <v>2.3123</v>
      </c>
      <c r="L389">
        <v>0.52500000000000002</v>
      </c>
    </row>
    <row r="390" spans="1:12">
      <c r="A390" t="s">
        <v>528</v>
      </c>
      <c r="B390">
        <v>0.5</v>
      </c>
      <c r="C390">
        <v>128</v>
      </c>
      <c r="D390" s="1" t="b">
        <v>1</v>
      </c>
      <c r="E390" t="s">
        <v>548</v>
      </c>
      <c r="F390" t="s">
        <v>532</v>
      </c>
      <c r="G390" t="s">
        <v>0</v>
      </c>
      <c r="H390" s="11">
        <v>141</v>
      </c>
      <c r="I390" s="18">
        <v>1.1797</v>
      </c>
      <c r="J390" s="18">
        <v>0.65010000000000001</v>
      </c>
      <c r="K390" s="18">
        <v>1.7309000000000001</v>
      </c>
      <c r="L390" s="18">
        <v>0.52449999999999997</v>
      </c>
    </row>
    <row r="391" spans="1:12">
      <c r="A391" t="s">
        <v>528</v>
      </c>
      <c r="B391">
        <v>0.5</v>
      </c>
      <c r="C391">
        <v>256</v>
      </c>
      <c r="D391" s="1" t="b">
        <v>1</v>
      </c>
      <c r="E391" t="s">
        <v>547</v>
      </c>
      <c r="F391" t="s">
        <v>531</v>
      </c>
      <c r="G391" t="s">
        <v>0</v>
      </c>
      <c r="H391" s="11">
        <v>292</v>
      </c>
      <c r="I391" s="18">
        <v>0.78820000000000001</v>
      </c>
      <c r="J391" s="18">
        <v>0.76500000000000001</v>
      </c>
      <c r="K391" s="18">
        <v>1.8758999999999999</v>
      </c>
      <c r="L391" s="18">
        <v>0.52449999999999997</v>
      </c>
    </row>
    <row r="392" spans="1:12">
      <c r="A392" t="s">
        <v>528</v>
      </c>
      <c r="B392">
        <v>0.1</v>
      </c>
      <c r="C392">
        <v>256</v>
      </c>
      <c r="D392" s="1" t="b">
        <v>1</v>
      </c>
      <c r="E392" t="s">
        <v>548</v>
      </c>
      <c r="F392" t="s">
        <v>532</v>
      </c>
      <c r="G392" t="s">
        <v>5</v>
      </c>
      <c r="H392" s="11">
        <v>283</v>
      </c>
      <c r="I392" s="18">
        <v>0.52600000000000002</v>
      </c>
      <c r="J392" s="18">
        <v>0.84609999999999996</v>
      </c>
      <c r="K392" s="18">
        <v>1.925</v>
      </c>
      <c r="L392" s="18">
        <v>0.52449999999999997</v>
      </c>
    </row>
    <row r="393" spans="1:12">
      <c r="A393" t="s">
        <v>528</v>
      </c>
      <c r="B393">
        <v>0.1</v>
      </c>
      <c r="C393">
        <v>64</v>
      </c>
      <c r="D393" s="1" t="b">
        <v>1</v>
      </c>
      <c r="E393" t="s">
        <v>548</v>
      </c>
      <c r="F393" t="s">
        <v>532</v>
      </c>
      <c r="G393" t="s">
        <v>5</v>
      </c>
      <c r="H393" s="11">
        <v>73</v>
      </c>
      <c r="I393" s="18">
        <v>0.60950000000000004</v>
      </c>
      <c r="J393" s="18">
        <v>0.82040000000000002</v>
      </c>
      <c r="K393" s="18">
        <v>1.9315</v>
      </c>
      <c r="L393" s="18">
        <v>0.52449999999999997</v>
      </c>
    </row>
    <row r="394" spans="1:12">
      <c r="A394" t="s">
        <v>528</v>
      </c>
      <c r="B394">
        <v>0.3</v>
      </c>
      <c r="C394">
        <v>128</v>
      </c>
      <c r="D394" s="1" t="b">
        <v>1</v>
      </c>
      <c r="E394" t="s">
        <v>548</v>
      </c>
      <c r="F394" t="s">
        <v>531</v>
      </c>
      <c r="G394" t="s">
        <v>1</v>
      </c>
      <c r="H394" s="11">
        <v>136</v>
      </c>
      <c r="I394" s="18">
        <v>0.38590000000000002</v>
      </c>
      <c r="J394" s="18">
        <v>0.88580000000000003</v>
      </c>
      <c r="K394" s="18">
        <v>2.0436000000000001</v>
      </c>
      <c r="L394" s="18">
        <v>0.52449999999999997</v>
      </c>
    </row>
    <row r="395" spans="1:12">
      <c r="A395" t="s">
        <v>528</v>
      </c>
      <c r="B395">
        <v>0.3</v>
      </c>
      <c r="C395">
        <v>128</v>
      </c>
      <c r="D395" s="1" t="b">
        <v>0</v>
      </c>
      <c r="E395" t="s">
        <v>548</v>
      </c>
      <c r="F395" t="s">
        <v>531</v>
      </c>
      <c r="G395" t="s">
        <v>0</v>
      </c>
      <c r="H395" s="11">
        <v>74</v>
      </c>
      <c r="I395" s="18">
        <v>0.37480000000000002</v>
      </c>
      <c r="J395" s="18">
        <v>0.89390000000000003</v>
      </c>
      <c r="K395" s="18">
        <v>2.0472999999999999</v>
      </c>
      <c r="L395" s="18">
        <v>0.52449999999999997</v>
      </c>
    </row>
    <row r="396" spans="1:12">
      <c r="A396" t="s">
        <v>556</v>
      </c>
      <c r="B396">
        <v>0.3</v>
      </c>
      <c r="C396">
        <v>256</v>
      </c>
      <c r="D396" t="b">
        <v>0</v>
      </c>
      <c r="E396" t="s">
        <v>548</v>
      </c>
      <c r="F396" t="s">
        <v>531</v>
      </c>
      <c r="G396" t="s">
        <v>2</v>
      </c>
      <c r="H396">
        <v>115</v>
      </c>
      <c r="I396">
        <v>0.2341</v>
      </c>
      <c r="J396">
        <v>0.93</v>
      </c>
      <c r="K396">
        <v>2.0693000000000001</v>
      </c>
      <c r="L396">
        <v>0.52449999999999997</v>
      </c>
    </row>
    <row r="397" spans="1:12">
      <c r="A397" t="s">
        <v>556</v>
      </c>
      <c r="B397">
        <v>0.3</v>
      </c>
      <c r="C397">
        <v>256</v>
      </c>
      <c r="D397" t="b">
        <v>0</v>
      </c>
      <c r="E397" t="s">
        <v>548</v>
      </c>
      <c r="F397" t="s">
        <v>531</v>
      </c>
      <c r="G397" t="s">
        <v>3</v>
      </c>
      <c r="H397">
        <v>115</v>
      </c>
      <c r="I397">
        <v>0.2006</v>
      </c>
      <c r="J397">
        <v>0.94369999999999998</v>
      </c>
      <c r="K397">
        <v>2.0840999999999998</v>
      </c>
      <c r="L397">
        <v>0.52449999999999997</v>
      </c>
    </row>
    <row r="398" spans="1:12">
      <c r="A398" t="s">
        <v>556</v>
      </c>
      <c r="B398">
        <v>0.3</v>
      </c>
      <c r="C398">
        <v>64</v>
      </c>
      <c r="D398" t="b">
        <v>0</v>
      </c>
      <c r="E398" t="s">
        <v>547</v>
      </c>
      <c r="F398" t="s">
        <v>531</v>
      </c>
      <c r="G398" t="s">
        <v>3</v>
      </c>
      <c r="H398">
        <v>36</v>
      </c>
      <c r="I398">
        <v>0.2903</v>
      </c>
      <c r="J398">
        <v>0.92210000000000003</v>
      </c>
      <c r="K398">
        <v>2.1440999999999999</v>
      </c>
      <c r="L398">
        <v>0.52449999999999997</v>
      </c>
    </row>
    <row r="399" spans="1:12">
      <c r="A399" t="s">
        <v>528</v>
      </c>
      <c r="B399">
        <v>0.1</v>
      </c>
      <c r="C399">
        <v>64</v>
      </c>
      <c r="D399" s="1" t="b">
        <v>0</v>
      </c>
      <c r="E399" t="s">
        <v>547</v>
      </c>
      <c r="F399" t="s">
        <v>531</v>
      </c>
      <c r="G399" t="s">
        <v>2</v>
      </c>
      <c r="H399" s="11">
        <v>42</v>
      </c>
      <c r="I399" s="18">
        <v>0.29199999999999998</v>
      </c>
      <c r="J399" s="18">
        <v>0.91930000000000001</v>
      </c>
      <c r="K399" s="18">
        <v>2.2812000000000001</v>
      </c>
      <c r="L399" s="18">
        <v>0.52449999999999997</v>
      </c>
    </row>
    <row r="400" spans="1:12">
      <c r="A400" t="s">
        <v>528</v>
      </c>
      <c r="B400">
        <v>0.3</v>
      </c>
      <c r="C400">
        <v>256</v>
      </c>
      <c r="D400" s="1" t="b">
        <v>0</v>
      </c>
      <c r="E400" t="s">
        <v>547</v>
      </c>
      <c r="F400" t="s">
        <v>532</v>
      </c>
      <c r="G400" t="s">
        <v>1</v>
      </c>
      <c r="H400" s="11">
        <v>149</v>
      </c>
      <c r="I400" s="18">
        <v>1.3005</v>
      </c>
      <c r="J400" s="18">
        <v>0.60909999999999997</v>
      </c>
      <c r="K400" s="18">
        <v>1.7415</v>
      </c>
      <c r="L400" s="18">
        <v>0.52400000000000002</v>
      </c>
    </row>
    <row r="401" spans="1:12">
      <c r="A401" t="s">
        <v>528</v>
      </c>
      <c r="B401">
        <v>0.3</v>
      </c>
      <c r="C401">
        <v>128</v>
      </c>
      <c r="D401" s="1" t="b">
        <v>0</v>
      </c>
      <c r="E401" t="s">
        <v>547</v>
      </c>
      <c r="F401" t="s">
        <v>531</v>
      </c>
      <c r="G401" t="s">
        <v>1</v>
      </c>
      <c r="H401" s="11">
        <v>75</v>
      </c>
      <c r="I401" s="18">
        <v>0.44819999999999999</v>
      </c>
      <c r="J401" s="18">
        <v>0.87309999999999999</v>
      </c>
      <c r="K401" s="18">
        <v>2.0556000000000001</v>
      </c>
      <c r="L401" s="18">
        <v>0.52400000000000002</v>
      </c>
    </row>
    <row r="402" spans="1:12">
      <c r="A402" t="s">
        <v>528</v>
      </c>
      <c r="B402">
        <v>0.5</v>
      </c>
      <c r="C402">
        <v>64</v>
      </c>
      <c r="D402" s="1" t="b">
        <v>0</v>
      </c>
      <c r="E402" t="s">
        <v>547</v>
      </c>
      <c r="F402" t="s">
        <v>531</v>
      </c>
      <c r="G402" t="s">
        <v>1</v>
      </c>
      <c r="H402" s="11">
        <v>52</v>
      </c>
      <c r="I402" s="18">
        <v>0.60960000000000003</v>
      </c>
      <c r="J402" s="18">
        <v>0.8327</v>
      </c>
      <c r="K402" s="18">
        <v>2.1063000000000001</v>
      </c>
      <c r="L402" s="18">
        <v>0.52400000000000002</v>
      </c>
    </row>
    <row r="403" spans="1:12">
      <c r="A403" t="s">
        <v>556</v>
      </c>
      <c r="B403">
        <v>0.1</v>
      </c>
      <c r="C403">
        <v>256</v>
      </c>
      <c r="D403" t="b">
        <v>0</v>
      </c>
      <c r="E403" t="s">
        <v>547</v>
      </c>
      <c r="F403" t="s">
        <v>531</v>
      </c>
      <c r="G403" t="s">
        <v>3</v>
      </c>
      <c r="H403">
        <v>116</v>
      </c>
      <c r="I403">
        <v>0.17380000000000001</v>
      </c>
      <c r="J403">
        <v>0.94779999999999998</v>
      </c>
      <c r="K403">
        <v>2.1892999999999998</v>
      </c>
      <c r="L403">
        <v>0.52400000000000002</v>
      </c>
    </row>
    <row r="404" spans="1:12">
      <c r="A404" t="s">
        <v>528</v>
      </c>
      <c r="B404">
        <v>0.3</v>
      </c>
      <c r="C404">
        <v>256</v>
      </c>
      <c r="D404" s="1" t="b">
        <v>1</v>
      </c>
      <c r="E404" t="s">
        <v>548</v>
      </c>
      <c r="F404" t="s">
        <v>531</v>
      </c>
      <c r="G404" t="s">
        <v>3</v>
      </c>
      <c r="H404" s="11">
        <v>276</v>
      </c>
      <c r="I404" s="18">
        <v>0.31559999999999999</v>
      </c>
      <c r="J404" s="18">
        <v>0.90269999999999995</v>
      </c>
      <c r="K404" s="18">
        <v>2.2040000000000002</v>
      </c>
      <c r="L404" s="18">
        <v>0.52400000000000002</v>
      </c>
    </row>
    <row r="405" spans="1:12">
      <c r="A405" t="s">
        <v>556</v>
      </c>
      <c r="B405">
        <v>0.3</v>
      </c>
      <c r="C405">
        <v>128</v>
      </c>
      <c r="D405" t="b">
        <v>0</v>
      </c>
      <c r="E405" t="s">
        <v>548</v>
      </c>
      <c r="F405" t="s">
        <v>531</v>
      </c>
      <c r="G405" t="s">
        <v>1</v>
      </c>
      <c r="H405">
        <v>58</v>
      </c>
      <c r="I405">
        <v>0.24979999999999999</v>
      </c>
      <c r="J405">
        <v>0.92649999999999999</v>
      </c>
      <c r="K405">
        <v>2.2124999999999999</v>
      </c>
      <c r="L405">
        <v>0.52400000000000002</v>
      </c>
    </row>
    <row r="406" spans="1:12">
      <c r="A406" t="s">
        <v>528</v>
      </c>
      <c r="B406">
        <v>0.3</v>
      </c>
      <c r="C406">
        <v>64</v>
      </c>
      <c r="D406" s="1" t="b">
        <v>1</v>
      </c>
      <c r="E406" t="s">
        <v>548</v>
      </c>
      <c r="F406" t="s">
        <v>531</v>
      </c>
      <c r="G406" t="s">
        <v>5</v>
      </c>
      <c r="H406" s="11">
        <v>67</v>
      </c>
      <c r="I406" s="18">
        <v>0.3362</v>
      </c>
      <c r="J406" s="18">
        <v>0.90290000000000004</v>
      </c>
      <c r="K406" s="18">
        <v>2.2446999999999999</v>
      </c>
      <c r="L406" s="18">
        <v>0.52400000000000002</v>
      </c>
    </row>
    <row r="407" spans="1:12">
      <c r="A407" t="s">
        <v>528</v>
      </c>
      <c r="B407">
        <v>0.1</v>
      </c>
      <c r="C407">
        <v>256</v>
      </c>
      <c r="D407" s="1" t="b">
        <v>1</v>
      </c>
      <c r="E407" t="s">
        <v>548</v>
      </c>
      <c r="F407" t="s">
        <v>532</v>
      </c>
      <c r="G407" t="s">
        <v>3</v>
      </c>
      <c r="H407" s="11">
        <v>284</v>
      </c>
      <c r="I407" s="18">
        <v>0.62649999999999995</v>
      </c>
      <c r="J407" s="18">
        <v>0.8075</v>
      </c>
      <c r="K407" s="18">
        <v>1.8456999999999999</v>
      </c>
      <c r="L407" s="18">
        <v>0.52349999999999997</v>
      </c>
    </row>
    <row r="408" spans="1:12">
      <c r="A408" t="s">
        <v>556</v>
      </c>
      <c r="B408">
        <v>0.3</v>
      </c>
      <c r="C408">
        <v>64</v>
      </c>
      <c r="D408" t="b">
        <v>0</v>
      </c>
      <c r="E408" t="s">
        <v>548</v>
      </c>
      <c r="F408" t="s">
        <v>532</v>
      </c>
      <c r="G408" t="s">
        <v>2</v>
      </c>
      <c r="H408">
        <v>35</v>
      </c>
      <c r="I408">
        <v>0.87649999999999995</v>
      </c>
      <c r="J408">
        <v>0.73919999999999997</v>
      </c>
      <c r="K408">
        <v>1.8580000000000001</v>
      </c>
      <c r="L408">
        <v>0.52349999999999997</v>
      </c>
    </row>
    <row r="409" spans="1:12">
      <c r="A409" t="s">
        <v>528</v>
      </c>
      <c r="B409">
        <v>0.1</v>
      </c>
      <c r="C409">
        <v>128</v>
      </c>
      <c r="D409" s="1" t="b">
        <v>1</v>
      </c>
      <c r="E409" t="s">
        <v>548</v>
      </c>
      <c r="F409" t="s">
        <v>532</v>
      </c>
      <c r="G409" t="s">
        <v>3</v>
      </c>
      <c r="H409" s="11">
        <v>143</v>
      </c>
      <c r="I409" s="18">
        <v>0.60440000000000005</v>
      </c>
      <c r="J409" s="18">
        <v>0.81840000000000002</v>
      </c>
      <c r="K409" s="18">
        <v>1.8987000000000001</v>
      </c>
      <c r="L409" s="18">
        <v>0.52349999999999997</v>
      </c>
    </row>
    <row r="410" spans="1:12">
      <c r="A410" t="s">
        <v>528</v>
      </c>
      <c r="B410">
        <v>0.3</v>
      </c>
      <c r="C410">
        <v>64</v>
      </c>
      <c r="D410" s="1" t="b">
        <v>0</v>
      </c>
      <c r="E410" t="s">
        <v>548</v>
      </c>
      <c r="F410" t="s">
        <v>531</v>
      </c>
      <c r="G410" t="s">
        <v>0</v>
      </c>
      <c r="H410" s="11">
        <v>42</v>
      </c>
      <c r="I410" s="18">
        <v>0.37509999999999999</v>
      </c>
      <c r="J410" s="18">
        <v>0.89739999999999998</v>
      </c>
      <c r="K410" s="18">
        <v>2.1421000000000001</v>
      </c>
      <c r="L410" s="18">
        <v>0.52349999999999997</v>
      </c>
    </row>
    <row r="411" spans="1:12">
      <c r="A411" t="s">
        <v>556</v>
      </c>
      <c r="B411">
        <v>0.1</v>
      </c>
      <c r="C411">
        <v>256</v>
      </c>
      <c r="D411" t="b">
        <v>0</v>
      </c>
      <c r="E411" t="s">
        <v>548</v>
      </c>
      <c r="F411" t="s">
        <v>531</v>
      </c>
      <c r="G411" t="s">
        <v>2</v>
      </c>
      <c r="H411">
        <v>117</v>
      </c>
      <c r="I411">
        <v>0.18160000000000001</v>
      </c>
      <c r="J411">
        <v>0.94569999999999999</v>
      </c>
      <c r="K411">
        <v>2.1534</v>
      </c>
      <c r="L411">
        <v>0.52349999999999997</v>
      </c>
    </row>
    <row r="412" spans="1:12">
      <c r="A412" t="s">
        <v>528</v>
      </c>
      <c r="B412">
        <v>0.3</v>
      </c>
      <c r="C412">
        <v>64</v>
      </c>
      <c r="D412" s="1" t="b">
        <v>1</v>
      </c>
      <c r="E412" t="s">
        <v>548</v>
      </c>
      <c r="F412" t="s">
        <v>531</v>
      </c>
      <c r="G412" t="s">
        <v>4</v>
      </c>
      <c r="H412" s="11">
        <v>65</v>
      </c>
      <c r="I412" s="18">
        <v>0.35949999999999999</v>
      </c>
      <c r="J412" s="18">
        <v>0.89570000000000005</v>
      </c>
      <c r="K412" s="18">
        <v>2.2016</v>
      </c>
      <c r="L412" s="18">
        <v>0.52349999999999997</v>
      </c>
    </row>
    <row r="413" spans="1:12">
      <c r="A413" t="s">
        <v>556</v>
      </c>
      <c r="B413">
        <v>0.1</v>
      </c>
      <c r="C413">
        <v>128</v>
      </c>
      <c r="D413" t="b">
        <v>0</v>
      </c>
      <c r="E413" t="s">
        <v>548</v>
      </c>
      <c r="F413" t="s">
        <v>531</v>
      </c>
      <c r="G413" t="s">
        <v>1</v>
      </c>
      <c r="H413">
        <v>64</v>
      </c>
      <c r="I413">
        <v>0.2157</v>
      </c>
      <c r="J413">
        <v>0.93759999999999999</v>
      </c>
      <c r="K413">
        <v>2.2966000000000002</v>
      </c>
      <c r="L413">
        <v>0.52349999999999997</v>
      </c>
    </row>
    <row r="414" spans="1:12">
      <c r="A414" t="s">
        <v>528</v>
      </c>
      <c r="B414">
        <v>0.3</v>
      </c>
      <c r="C414">
        <v>128</v>
      </c>
      <c r="D414" s="1" t="b">
        <v>1</v>
      </c>
      <c r="E414" t="s">
        <v>547</v>
      </c>
      <c r="F414" t="s">
        <v>532</v>
      </c>
      <c r="G414" t="s">
        <v>2</v>
      </c>
      <c r="H414" s="11">
        <v>142</v>
      </c>
      <c r="I414" s="18">
        <v>1.0951</v>
      </c>
      <c r="J414" s="18">
        <v>0.6744</v>
      </c>
      <c r="K414" s="18">
        <v>1.7304999999999999</v>
      </c>
      <c r="L414" s="18">
        <v>0.52300000000000002</v>
      </c>
    </row>
    <row r="415" spans="1:12">
      <c r="A415" t="s">
        <v>528</v>
      </c>
      <c r="B415">
        <v>0.5</v>
      </c>
      <c r="C415">
        <v>256</v>
      </c>
      <c r="D415" s="1" t="b">
        <v>0</v>
      </c>
      <c r="E415" t="s">
        <v>547</v>
      </c>
      <c r="F415" t="s">
        <v>532</v>
      </c>
      <c r="G415" t="s">
        <v>0</v>
      </c>
      <c r="H415" s="11">
        <v>172</v>
      </c>
      <c r="I415" s="18">
        <v>1.4699</v>
      </c>
      <c r="J415" s="18">
        <v>0.55649999999999999</v>
      </c>
      <c r="K415" s="18">
        <v>1.7351000000000001</v>
      </c>
      <c r="L415" s="18">
        <v>0.52300000000000002</v>
      </c>
    </row>
    <row r="416" spans="1:12">
      <c r="A416" t="s">
        <v>528</v>
      </c>
      <c r="B416">
        <v>0.1</v>
      </c>
      <c r="C416">
        <v>128</v>
      </c>
      <c r="D416" s="1" t="b">
        <v>1</v>
      </c>
      <c r="E416" t="s">
        <v>547</v>
      </c>
      <c r="F416" t="s">
        <v>532</v>
      </c>
      <c r="G416" t="s">
        <v>3</v>
      </c>
      <c r="H416" s="11">
        <v>155</v>
      </c>
      <c r="I416" s="18">
        <v>0.90869999999999995</v>
      </c>
      <c r="J416" s="18">
        <v>0.72889999999999999</v>
      </c>
      <c r="K416" s="18">
        <v>1.7535000000000001</v>
      </c>
      <c r="L416" s="18">
        <v>0.52300000000000002</v>
      </c>
    </row>
    <row r="417" spans="1:12">
      <c r="A417" t="s">
        <v>528</v>
      </c>
      <c r="B417">
        <v>0.1</v>
      </c>
      <c r="C417">
        <v>128</v>
      </c>
      <c r="D417" s="1" t="b">
        <v>0</v>
      </c>
      <c r="E417" t="s">
        <v>547</v>
      </c>
      <c r="F417" t="s">
        <v>532</v>
      </c>
      <c r="G417" t="s">
        <v>5</v>
      </c>
      <c r="H417" s="11">
        <v>73</v>
      </c>
      <c r="I417" s="18">
        <v>0.86870000000000003</v>
      </c>
      <c r="J417" s="18">
        <v>0.74809999999999999</v>
      </c>
      <c r="K417" s="18">
        <v>1.8207</v>
      </c>
      <c r="L417" s="18">
        <v>0.52300000000000002</v>
      </c>
    </row>
    <row r="418" spans="1:12">
      <c r="A418" t="s">
        <v>528</v>
      </c>
      <c r="B418">
        <v>0.5</v>
      </c>
      <c r="C418">
        <v>64</v>
      </c>
      <c r="D418" s="1" t="b">
        <v>1</v>
      </c>
      <c r="E418" t="s">
        <v>548</v>
      </c>
      <c r="F418" t="s">
        <v>532</v>
      </c>
      <c r="G418" t="s">
        <v>3</v>
      </c>
      <c r="H418" s="11">
        <v>74</v>
      </c>
      <c r="I418" s="18">
        <v>1.04</v>
      </c>
      <c r="J418" s="18">
        <v>0.69110000000000005</v>
      </c>
      <c r="K418" s="18">
        <v>1.8428</v>
      </c>
      <c r="L418" s="18">
        <v>0.52300000000000002</v>
      </c>
    </row>
    <row r="419" spans="1:12">
      <c r="A419" t="s">
        <v>528</v>
      </c>
      <c r="B419">
        <v>0.1</v>
      </c>
      <c r="C419">
        <v>64</v>
      </c>
      <c r="D419" s="1" t="b">
        <v>1</v>
      </c>
      <c r="E419" t="s">
        <v>548</v>
      </c>
      <c r="F419" t="s">
        <v>532</v>
      </c>
      <c r="G419" t="s">
        <v>1</v>
      </c>
      <c r="H419" s="11">
        <v>73</v>
      </c>
      <c r="I419" s="18">
        <v>0.83760000000000001</v>
      </c>
      <c r="J419" s="18">
        <v>0.7571</v>
      </c>
      <c r="K419" s="18">
        <v>1.8589</v>
      </c>
      <c r="L419" s="18">
        <v>0.52300000000000002</v>
      </c>
    </row>
    <row r="420" spans="1:12">
      <c r="A420" t="s">
        <v>528</v>
      </c>
      <c r="B420">
        <v>0.1</v>
      </c>
      <c r="C420">
        <v>256</v>
      </c>
      <c r="D420" s="1" t="b">
        <v>1</v>
      </c>
      <c r="E420" t="s">
        <v>547</v>
      </c>
      <c r="F420" t="s">
        <v>531</v>
      </c>
      <c r="G420" t="s">
        <v>5</v>
      </c>
      <c r="H420" s="11">
        <v>288</v>
      </c>
      <c r="I420" s="18">
        <v>0.2792</v>
      </c>
      <c r="J420" s="18">
        <v>0.91679999999999995</v>
      </c>
      <c r="K420" s="18">
        <v>2.1646000000000001</v>
      </c>
      <c r="L420" s="18">
        <v>0.52300000000000002</v>
      </c>
    </row>
    <row r="421" spans="1:12">
      <c r="A421" t="s">
        <v>528</v>
      </c>
      <c r="B421">
        <v>0.3</v>
      </c>
      <c r="C421">
        <v>128</v>
      </c>
      <c r="D421" s="1" t="b">
        <v>0</v>
      </c>
      <c r="E421" t="s">
        <v>547</v>
      </c>
      <c r="F421" t="s">
        <v>531</v>
      </c>
      <c r="G421" t="s">
        <v>5</v>
      </c>
      <c r="H421" s="11">
        <v>72</v>
      </c>
      <c r="I421" s="18">
        <v>0.2843</v>
      </c>
      <c r="J421" s="18">
        <v>0.91710000000000003</v>
      </c>
      <c r="K421" s="18">
        <v>2.2926000000000002</v>
      </c>
      <c r="L421" s="18">
        <v>0.52300000000000002</v>
      </c>
    </row>
    <row r="422" spans="1:12">
      <c r="A422" t="s">
        <v>528</v>
      </c>
      <c r="B422">
        <v>0.5</v>
      </c>
      <c r="C422">
        <v>64</v>
      </c>
      <c r="D422" s="1" t="b">
        <v>0</v>
      </c>
      <c r="E422" t="s">
        <v>547</v>
      </c>
      <c r="F422" t="s">
        <v>531</v>
      </c>
      <c r="G422" t="s">
        <v>4</v>
      </c>
      <c r="H422" s="11">
        <v>51</v>
      </c>
      <c r="I422" s="18">
        <v>0.43640000000000001</v>
      </c>
      <c r="J422" s="18">
        <v>0.87709999999999999</v>
      </c>
      <c r="K422" s="18">
        <v>2.3157999999999999</v>
      </c>
      <c r="L422" s="18">
        <v>0.52300000000000002</v>
      </c>
    </row>
    <row r="423" spans="1:12">
      <c r="A423" t="s">
        <v>528</v>
      </c>
      <c r="B423">
        <v>0.1</v>
      </c>
      <c r="C423">
        <v>128</v>
      </c>
      <c r="D423" s="1" t="b">
        <v>0</v>
      </c>
      <c r="E423" t="s">
        <v>548</v>
      </c>
      <c r="F423" t="s">
        <v>531</v>
      </c>
      <c r="G423" t="s">
        <v>4</v>
      </c>
      <c r="H423" s="11">
        <v>73</v>
      </c>
      <c r="I423" s="18">
        <v>0.2019</v>
      </c>
      <c r="J423" s="18">
        <v>0.94499999999999995</v>
      </c>
      <c r="K423" s="18">
        <v>2.4605999999999999</v>
      </c>
      <c r="L423" s="18">
        <v>0.52300000000000002</v>
      </c>
    </row>
    <row r="424" spans="1:12">
      <c r="A424" t="s">
        <v>556</v>
      </c>
      <c r="B424">
        <v>0.3</v>
      </c>
      <c r="C424">
        <v>128</v>
      </c>
      <c r="D424" t="b">
        <v>0</v>
      </c>
      <c r="E424" t="s">
        <v>548</v>
      </c>
      <c r="F424" t="s">
        <v>532</v>
      </c>
      <c r="G424" t="s">
        <v>3</v>
      </c>
      <c r="H424">
        <v>58</v>
      </c>
      <c r="I424">
        <v>0.6482</v>
      </c>
      <c r="J424">
        <v>0.81240000000000001</v>
      </c>
      <c r="K424">
        <v>1.8303</v>
      </c>
      <c r="L424">
        <v>0.52249999999999996</v>
      </c>
    </row>
    <row r="425" spans="1:12">
      <c r="A425" t="s">
        <v>528</v>
      </c>
      <c r="B425">
        <v>0.1</v>
      </c>
      <c r="C425">
        <v>128</v>
      </c>
      <c r="D425" s="1" t="b">
        <v>1</v>
      </c>
      <c r="E425" t="s">
        <v>547</v>
      </c>
      <c r="F425" t="s">
        <v>532</v>
      </c>
      <c r="G425" t="s">
        <v>0</v>
      </c>
      <c r="H425" s="11">
        <v>148</v>
      </c>
      <c r="I425" s="18">
        <v>1.1171</v>
      </c>
      <c r="J425" s="18">
        <v>0.67190000000000005</v>
      </c>
      <c r="K425" s="18">
        <v>1.8398000000000001</v>
      </c>
      <c r="L425" s="18">
        <v>0.52249999999999996</v>
      </c>
    </row>
    <row r="426" spans="1:12">
      <c r="A426" t="s">
        <v>556</v>
      </c>
      <c r="B426">
        <v>0.1</v>
      </c>
      <c r="C426">
        <v>128</v>
      </c>
      <c r="D426" t="b">
        <v>0</v>
      </c>
      <c r="E426" t="s">
        <v>548</v>
      </c>
      <c r="F426" t="s">
        <v>532</v>
      </c>
      <c r="G426" t="s">
        <v>4</v>
      </c>
      <c r="H426">
        <v>58</v>
      </c>
      <c r="I426">
        <v>0.4864</v>
      </c>
      <c r="J426">
        <v>0.8569</v>
      </c>
      <c r="K426">
        <v>1.9327000000000001</v>
      </c>
      <c r="L426">
        <v>0.52249999999999996</v>
      </c>
    </row>
    <row r="427" spans="1:12">
      <c r="A427" t="s">
        <v>556</v>
      </c>
      <c r="B427">
        <v>0.5</v>
      </c>
      <c r="C427">
        <v>128</v>
      </c>
      <c r="D427" t="b">
        <v>0</v>
      </c>
      <c r="E427" t="s">
        <v>548</v>
      </c>
      <c r="F427" t="s">
        <v>531</v>
      </c>
      <c r="G427" t="s">
        <v>1</v>
      </c>
      <c r="H427">
        <v>59</v>
      </c>
      <c r="I427">
        <v>0.3569</v>
      </c>
      <c r="J427">
        <v>0.89219999999999999</v>
      </c>
      <c r="K427">
        <v>2.048</v>
      </c>
      <c r="L427">
        <v>0.52249999999999996</v>
      </c>
    </row>
    <row r="428" spans="1:12">
      <c r="A428" t="s">
        <v>528</v>
      </c>
      <c r="B428">
        <v>0.5</v>
      </c>
      <c r="C428">
        <v>128</v>
      </c>
      <c r="D428" s="1" t="b">
        <v>0</v>
      </c>
      <c r="E428" t="s">
        <v>548</v>
      </c>
      <c r="F428" t="s">
        <v>531</v>
      </c>
      <c r="G428" t="s">
        <v>1</v>
      </c>
      <c r="H428" s="11">
        <v>74</v>
      </c>
      <c r="I428" s="18">
        <v>0.4491</v>
      </c>
      <c r="J428" s="18">
        <v>0.86890000000000001</v>
      </c>
      <c r="K428" s="18">
        <v>2.0800999999999998</v>
      </c>
      <c r="L428" s="18">
        <v>0.52249999999999996</v>
      </c>
    </row>
    <row r="429" spans="1:12">
      <c r="A429" t="s">
        <v>556</v>
      </c>
      <c r="B429">
        <v>0.5</v>
      </c>
      <c r="C429">
        <v>256</v>
      </c>
      <c r="D429" t="b">
        <v>0</v>
      </c>
      <c r="E429" t="s">
        <v>548</v>
      </c>
      <c r="F429" t="s">
        <v>531</v>
      </c>
      <c r="G429" t="s">
        <v>5</v>
      </c>
      <c r="H429">
        <v>117</v>
      </c>
      <c r="I429">
        <v>0.22239999999999999</v>
      </c>
      <c r="J429">
        <v>0.93259999999999998</v>
      </c>
      <c r="K429">
        <v>2.1109</v>
      </c>
      <c r="L429">
        <v>0.52249999999999996</v>
      </c>
    </row>
    <row r="430" spans="1:12">
      <c r="A430" t="s">
        <v>528</v>
      </c>
      <c r="B430">
        <v>0.1</v>
      </c>
      <c r="C430">
        <v>128</v>
      </c>
      <c r="D430" s="1" t="b">
        <v>1</v>
      </c>
      <c r="E430" t="s">
        <v>547</v>
      </c>
      <c r="F430" t="s">
        <v>531</v>
      </c>
      <c r="G430" t="s">
        <v>2</v>
      </c>
      <c r="H430" s="11">
        <v>160</v>
      </c>
      <c r="I430" s="18">
        <v>0.41149999999999998</v>
      </c>
      <c r="J430" s="18">
        <v>0.88239999999999996</v>
      </c>
      <c r="K430" s="18">
        <v>2.1299000000000001</v>
      </c>
      <c r="L430" s="18">
        <v>0.52249999999999996</v>
      </c>
    </row>
    <row r="431" spans="1:12">
      <c r="A431" t="s">
        <v>528</v>
      </c>
      <c r="B431">
        <v>0.3</v>
      </c>
      <c r="C431">
        <v>64</v>
      </c>
      <c r="D431" s="1" t="b">
        <v>0</v>
      </c>
      <c r="E431" t="s">
        <v>547</v>
      </c>
      <c r="F431" t="s">
        <v>531</v>
      </c>
      <c r="G431" t="s">
        <v>4</v>
      </c>
      <c r="H431" s="11">
        <v>42</v>
      </c>
      <c r="I431" s="18">
        <v>0.31519999999999998</v>
      </c>
      <c r="J431" s="18">
        <v>0.91610000000000003</v>
      </c>
      <c r="K431" s="18">
        <v>2.3563000000000001</v>
      </c>
      <c r="L431" s="18">
        <v>0.52249999999999996</v>
      </c>
    </row>
    <row r="432" spans="1:12">
      <c r="A432" t="s">
        <v>528</v>
      </c>
      <c r="B432">
        <v>0.5</v>
      </c>
      <c r="C432">
        <v>128</v>
      </c>
      <c r="D432" s="1" t="b">
        <v>1</v>
      </c>
      <c r="E432" t="s">
        <v>547</v>
      </c>
      <c r="F432" t="s">
        <v>532</v>
      </c>
      <c r="G432" t="s">
        <v>2</v>
      </c>
      <c r="H432" s="11">
        <v>141</v>
      </c>
      <c r="I432" s="18">
        <v>1.2904</v>
      </c>
      <c r="J432" s="18">
        <v>0.61240000000000006</v>
      </c>
      <c r="K432" s="18">
        <v>1.7975000000000001</v>
      </c>
      <c r="L432" s="18">
        <v>0.52200000000000002</v>
      </c>
    </row>
    <row r="433" spans="1:12">
      <c r="A433" t="s">
        <v>528</v>
      </c>
      <c r="B433">
        <v>0.1</v>
      </c>
      <c r="C433">
        <v>64</v>
      </c>
      <c r="D433" s="1" t="b">
        <v>1</v>
      </c>
      <c r="E433" t="s">
        <v>548</v>
      </c>
      <c r="F433" t="s">
        <v>532</v>
      </c>
      <c r="G433" t="s">
        <v>3</v>
      </c>
      <c r="H433" s="11">
        <v>73</v>
      </c>
      <c r="I433" s="18">
        <v>0.70630000000000004</v>
      </c>
      <c r="J433" s="18">
        <v>0.79139999999999999</v>
      </c>
      <c r="K433" s="18">
        <v>1.8762000000000001</v>
      </c>
      <c r="L433" s="18">
        <v>0.52200000000000002</v>
      </c>
    </row>
    <row r="434" spans="1:12">
      <c r="A434" t="s">
        <v>528</v>
      </c>
      <c r="B434">
        <v>0.5</v>
      </c>
      <c r="C434">
        <v>64</v>
      </c>
      <c r="D434" s="1" t="b">
        <v>1</v>
      </c>
      <c r="E434" t="s">
        <v>548</v>
      </c>
      <c r="F434" t="s">
        <v>531</v>
      </c>
      <c r="G434" t="s">
        <v>3</v>
      </c>
      <c r="H434" s="11">
        <v>67</v>
      </c>
      <c r="I434" s="18">
        <v>0.59750000000000003</v>
      </c>
      <c r="J434" s="18">
        <v>0.82340000000000002</v>
      </c>
      <c r="K434" s="18">
        <v>1.9742</v>
      </c>
      <c r="L434" s="18">
        <v>0.52200000000000002</v>
      </c>
    </row>
    <row r="435" spans="1:12">
      <c r="A435" t="s">
        <v>556</v>
      </c>
      <c r="B435">
        <v>0.3</v>
      </c>
      <c r="C435">
        <v>64</v>
      </c>
      <c r="D435" t="b">
        <v>0</v>
      </c>
      <c r="E435" t="s">
        <v>547</v>
      </c>
      <c r="F435" t="s">
        <v>531</v>
      </c>
      <c r="G435" t="s">
        <v>2</v>
      </c>
      <c r="H435">
        <v>36</v>
      </c>
      <c r="I435">
        <v>0.31680000000000003</v>
      </c>
      <c r="J435">
        <v>0.9143</v>
      </c>
      <c r="K435">
        <v>2.0871</v>
      </c>
      <c r="L435">
        <v>0.52200000000000002</v>
      </c>
    </row>
    <row r="436" spans="1:12">
      <c r="A436" t="s">
        <v>528</v>
      </c>
      <c r="B436">
        <v>0.3</v>
      </c>
      <c r="C436">
        <v>128</v>
      </c>
      <c r="D436" s="1" t="b">
        <v>1</v>
      </c>
      <c r="E436" t="s">
        <v>547</v>
      </c>
      <c r="F436" t="s">
        <v>531</v>
      </c>
      <c r="G436" t="s">
        <v>5</v>
      </c>
      <c r="H436" s="11">
        <v>138</v>
      </c>
      <c r="I436" s="18">
        <v>0.379</v>
      </c>
      <c r="J436" s="18">
        <v>0.88719999999999999</v>
      </c>
      <c r="K436" s="18">
        <v>2.1566999999999998</v>
      </c>
      <c r="L436" s="18">
        <v>0.52200000000000002</v>
      </c>
    </row>
    <row r="437" spans="1:12">
      <c r="A437" t="s">
        <v>556</v>
      </c>
      <c r="B437">
        <v>0.1</v>
      </c>
      <c r="C437">
        <v>256</v>
      </c>
      <c r="D437" t="b">
        <v>0</v>
      </c>
      <c r="E437" t="s">
        <v>548</v>
      </c>
      <c r="F437" t="s">
        <v>531</v>
      </c>
      <c r="G437" t="s">
        <v>1</v>
      </c>
      <c r="H437">
        <v>116</v>
      </c>
      <c r="I437">
        <v>0.18840000000000001</v>
      </c>
      <c r="J437">
        <v>0.94330000000000003</v>
      </c>
      <c r="K437">
        <v>2.2235999999999998</v>
      </c>
      <c r="L437">
        <v>0.52200000000000002</v>
      </c>
    </row>
    <row r="438" spans="1:12">
      <c r="A438" t="s">
        <v>528</v>
      </c>
      <c r="B438">
        <v>0.3</v>
      </c>
      <c r="C438">
        <v>64</v>
      </c>
      <c r="D438" s="1" t="b">
        <v>0</v>
      </c>
      <c r="E438" t="s">
        <v>547</v>
      </c>
      <c r="F438" t="s">
        <v>531</v>
      </c>
      <c r="G438" t="s">
        <v>3</v>
      </c>
      <c r="H438" s="11">
        <v>42</v>
      </c>
      <c r="I438" s="18">
        <v>0.34799999999999998</v>
      </c>
      <c r="J438" s="18">
        <v>0.90610000000000002</v>
      </c>
      <c r="K438" s="18">
        <v>2.2393000000000001</v>
      </c>
      <c r="L438" s="18">
        <v>0.52200000000000002</v>
      </c>
    </row>
    <row r="439" spans="1:12">
      <c r="A439" t="s">
        <v>528</v>
      </c>
      <c r="B439">
        <v>0.3</v>
      </c>
      <c r="C439">
        <v>128</v>
      </c>
      <c r="D439" s="1" t="b">
        <v>0</v>
      </c>
      <c r="E439" t="s">
        <v>548</v>
      </c>
      <c r="F439" t="s">
        <v>531</v>
      </c>
      <c r="G439" t="s">
        <v>2</v>
      </c>
      <c r="H439" s="11">
        <v>74</v>
      </c>
      <c r="I439" s="18">
        <v>0.29139999999999999</v>
      </c>
      <c r="J439" s="18">
        <v>0.91690000000000005</v>
      </c>
      <c r="K439" s="18">
        <v>2.2427999999999999</v>
      </c>
      <c r="L439" s="18">
        <v>0.52200000000000002</v>
      </c>
    </row>
    <row r="440" spans="1:12">
      <c r="A440" t="s">
        <v>528</v>
      </c>
      <c r="B440">
        <v>0.3</v>
      </c>
      <c r="C440">
        <v>128</v>
      </c>
      <c r="D440" s="1" t="b">
        <v>0</v>
      </c>
      <c r="E440" t="s">
        <v>547</v>
      </c>
      <c r="F440" t="s">
        <v>532</v>
      </c>
      <c r="G440" t="s">
        <v>1</v>
      </c>
      <c r="H440" s="11">
        <v>70</v>
      </c>
      <c r="I440" s="18">
        <v>1.302</v>
      </c>
      <c r="J440" s="18">
        <v>0.61850000000000005</v>
      </c>
      <c r="K440" s="18">
        <v>1.7652000000000001</v>
      </c>
      <c r="L440" s="18">
        <v>0.52149999999999996</v>
      </c>
    </row>
    <row r="441" spans="1:12">
      <c r="A441" t="s">
        <v>556</v>
      </c>
      <c r="B441">
        <v>0.3</v>
      </c>
      <c r="C441">
        <v>64</v>
      </c>
      <c r="D441" t="b">
        <v>0</v>
      </c>
      <c r="E441" t="s">
        <v>548</v>
      </c>
      <c r="F441" t="s">
        <v>532</v>
      </c>
      <c r="G441" t="s">
        <v>1</v>
      </c>
      <c r="H441">
        <v>35</v>
      </c>
      <c r="I441">
        <v>0.96550000000000002</v>
      </c>
      <c r="J441">
        <v>0.70899999999999996</v>
      </c>
      <c r="K441">
        <v>1.8015000000000001</v>
      </c>
      <c r="L441">
        <v>0.52149999999999996</v>
      </c>
    </row>
    <row r="442" spans="1:12">
      <c r="A442" t="s">
        <v>528</v>
      </c>
      <c r="B442">
        <v>0.5</v>
      </c>
      <c r="C442">
        <v>256</v>
      </c>
      <c r="D442" s="1" t="b">
        <v>0</v>
      </c>
      <c r="E442" t="s">
        <v>547</v>
      </c>
      <c r="F442" t="s">
        <v>531</v>
      </c>
      <c r="G442" t="s">
        <v>0</v>
      </c>
      <c r="H442" s="11">
        <v>170</v>
      </c>
      <c r="I442" s="18">
        <v>0.62980000000000003</v>
      </c>
      <c r="J442" s="18">
        <v>0.81169999999999998</v>
      </c>
      <c r="K442" s="18">
        <v>1.9017999999999999</v>
      </c>
      <c r="L442" s="18">
        <v>0.52149999999999996</v>
      </c>
    </row>
    <row r="443" spans="1:12">
      <c r="A443" t="s">
        <v>528</v>
      </c>
      <c r="B443">
        <v>0.5</v>
      </c>
      <c r="C443">
        <v>256</v>
      </c>
      <c r="D443" s="1" t="b">
        <v>1</v>
      </c>
      <c r="E443" t="s">
        <v>547</v>
      </c>
      <c r="F443" t="s">
        <v>531</v>
      </c>
      <c r="G443" t="s">
        <v>4</v>
      </c>
      <c r="H443" s="11">
        <v>295</v>
      </c>
      <c r="I443" s="18">
        <v>0.52780000000000005</v>
      </c>
      <c r="J443" s="18">
        <v>0.8458</v>
      </c>
      <c r="K443" s="18">
        <v>1.9726999999999999</v>
      </c>
      <c r="L443" s="18">
        <v>0.52149999999999996</v>
      </c>
    </row>
    <row r="444" spans="1:12">
      <c r="A444" t="s">
        <v>528</v>
      </c>
      <c r="B444">
        <v>0.5</v>
      </c>
      <c r="C444">
        <v>256</v>
      </c>
      <c r="D444" s="1" t="b">
        <v>0</v>
      </c>
      <c r="E444" t="s">
        <v>548</v>
      </c>
      <c r="F444" t="s">
        <v>531</v>
      </c>
      <c r="G444" t="s">
        <v>1</v>
      </c>
      <c r="H444" s="11">
        <v>159</v>
      </c>
      <c r="I444" s="18">
        <v>0.4597</v>
      </c>
      <c r="J444" s="18">
        <v>0.86609999999999998</v>
      </c>
      <c r="K444" s="18">
        <v>1.9945999999999999</v>
      </c>
      <c r="L444" s="18">
        <v>0.52149999999999996</v>
      </c>
    </row>
    <row r="445" spans="1:12">
      <c r="A445" t="s">
        <v>528</v>
      </c>
      <c r="B445">
        <v>0.5</v>
      </c>
      <c r="C445">
        <v>128</v>
      </c>
      <c r="D445" s="1" t="b">
        <v>1</v>
      </c>
      <c r="E445" t="s">
        <v>548</v>
      </c>
      <c r="F445" t="s">
        <v>531</v>
      </c>
      <c r="G445" t="s">
        <v>2</v>
      </c>
      <c r="H445" s="11">
        <v>137</v>
      </c>
      <c r="I445" s="18">
        <v>0.56210000000000004</v>
      </c>
      <c r="J445" s="18">
        <v>0.83499999999999996</v>
      </c>
      <c r="K445" s="18">
        <v>2.0411999999999999</v>
      </c>
      <c r="L445" s="18">
        <v>0.52149999999999996</v>
      </c>
    </row>
    <row r="446" spans="1:12">
      <c r="A446" t="s">
        <v>528</v>
      </c>
      <c r="B446">
        <v>0.5</v>
      </c>
      <c r="C446">
        <v>128</v>
      </c>
      <c r="D446" s="1" t="b">
        <v>0</v>
      </c>
      <c r="E446" t="s">
        <v>548</v>
      </c>
      <c r="F446" t="s">
        <v>531</v>
      </c>
      <c r="G446" t="s">
        <v>2</v>
      </c>
      <c r="H446" s="11">
        <v>74</v>
      </c>
      <c r="I446" s="18">
        <v>0.4002</v>
      </c>
      <c r="J446" s="18">
        <v>0.88419999999999999</v>
      </c>
      <c r="K446" s="18">
        <v>2.0727000000000002</v>
      </c>
      <c r="L446" s="18">
        <v>0.52149999999999996</v>
      </c>
    </row>
    <row r="447" spans="1:12">
      <c r="A447" t="s">
        <v>528</v>
      </c>
      <c r="B447">
        <v>0.1</v>
      </c>
      <c r="C447">
        <v>128</v>
      </c>
      <c r="D447" s="1" t="b">
        <v>1</v>
      </c>
      <c r="E447" t="s">
        <v>548</v>
      </c>
      <c r="F447" t="s">
        <v>531</v>
      </c>
      <c r="G447" t="s">
        <v>2</v>
      </c>
      <c r="H447" s="11">
        <v>136</v>
      </c>
      <c r="I447" s="18">
        <v>0.3009</v>
      </c>
      <c r="J447" s="18">
        <v>0.91080000000000005</v>
      </c>
      <c r="K447" s="18">
        <v>2.1818</v>
      </c>
      <c r="L447" s="18">
        <v>0.52149999999999996</v>
      </c>
    </row>
    <row r="448" spans="1:12">
      <c r="A448" t="s">
        <v>556</v>
      </c>
      <c r="B448">
        <v>0.5</v>
      </c>
      <c r="C448">
        <v>128</v>
      </c>
      <c r="D448" t="b">
        <v>0</v>
      </c>
      <c r="E448" t="s">
        <v>548</v>
      </c>
      <c r="F448" t="s">
        <v>531</v>
      </c>
      <c r="G448" t="s">
        <v>4</v>
      </c>
      <c r="H448">
        <v>59</v>
      </c>
      <c r="I448">
        <v>0.25840000000000002</v>
      </c>
      <c r="J448">
        <v>0.91949999999999998</v>
      </c>
      <c r="K448">
        <v>2.2275999999999998</v>
      </c>
      <c r="L448">
        <v>0.52149999999999996</v>
      </c>
    </row>
    <row r="449" spans="1:12">
      <c r="A449" t="s">
        <v>528</v>
      </c>
      <c r="B449">
        <v>0.1</v>
      </c>
      <c r="C449">
        <v>256</v>
      </c>
      <c r="D449" s="1" t="b">
        <v>0</v>
      </c>
      <c r="E449" t="s">
        <v>548</v>
      </c>
      <c r="F449" t="s">
        <v>532</v>
      </c>
      <c r="G449" t="s">
        <v>0</v>
      </c>
      <c r="H449" s="11">
        <v>141</v>
      </c>
      <c r="I449" s="18">
        <v>1.0416000000000001</v>
      </c>
      <c r="J449" s="18">
        <v>0.68769999999999998</v>
      </c>
      <c r="K449" s="18">
        <v>1.7025999999999999</v>
      </c>
      <c r="L449" s="18">
        <v>0.52100000000000002</v>
      </c>
    </row>
    <row r="450" spans="1:12">
      <c r="A450" t="s">
        <v>528</v>
      </c>
      <c r="B450">
        <v>0.5</v>
      </c>
      <c r="C450">
        <v>64</v>
      </c>
      <c r="D450" s="1" t="b">
        <v>1</v>
      </c>
      <c r="E450" t="s">
        <v>548</v>
      </c>
      <c r="F450" t="s">
        <v>532</v>
      </c>
      <c r="G450" t="s">
        <v>0</v>
      </c>
      <c r="H450" s="11">
        <v>75</v>
      </c>
      <c r="I450" s="18">
        <v>1.2063999999999999</v>
      </c>
      <c r="J450" s="18">
        <v>0.65090000000000003</v>
      </c>
      <c r="K450" s="18">
        <v>1.8035000000000001</v>
      </c>
      <c r="L450" s="18">
        <v>0.52100000000000002</v>
      </c>
    </row>
    <row r="451" spans="1:12">
      <c r="A451" t="s">
        <v>528</v>
      </c>
      <c r="B451">
        <v>0.1</v>
      </c>
      <c r="C451">
        <v>64</v>
      </c>
      <c r="D451" s="1" t="b">
        <v>1</v>
      </c>
      <c r="E451" t="s">
        <v>548</v>
      </c>
      <c r="F451" t="s">
        <v>532</v>
      </c>
      <c r="G451" t="s">
        <v>2</v>
      </c>
      <c r="H451" s="11">
        <v>73</v>
      </c>
      <c r="I451" s="18">
        <v>0.77059999999999995</v>
      </c>
      <c r="J451" s="18">
        <v>0.77600000000000002</v>
      </c>
      <c r="K451" s="18">
        <v>1.8566</v>
      </c>
      <c r="L451" s="18">
        <v>0.52100000000000002</v>
      </c>
    </row>
    <row r="452" spans="1:12">
      <c r="A452" t="s">
        <v>528</v>
      </c>
      <c r="B452">
        <v>0.5</v>
      </c>
      <c r="C452">
        <v>64</v>
      </c>
      <c r="D452" s="1" t="b">
        <v>1</v>
      </c>
      <c r="E452" t="s">
        <v>548</v>
      </c>
      <c r="F452" t="s">
        <v>531</v>
      </c>
      <c r="G452" t="s">
        <v>1</v>
      </c>
      <c r="H452" s="11">
        <v>67</v>
      </c>
      <c r="I452" s="18">
        <v>0.68169999999999997</v>
      </c>
      <c r="J452" s="18">
        <v>0.79879999999999995</v>
      </c>
      <c r="K452" s="18">
        <v>1.9771000000000001</v>
      </c>
      <c r="L452" s="18">
        <v>0.52100000000000002</v>
      </c>
    </row>
    <row r="453" spans="1:12">
      <c r="A453" t="s">
        <v>528</v>
      </c>
      <c r="B453">
        <v>0.3</v>
      </c>
      <c r="C453">
        <v>64</v>
      </c>
      <c r="D453" s="1" t="b">
        <v>1</v>
      </c>
      <c r="E453" t="s">
        <v>548</v>
      </c>
      <c r="F453" t="s">
        <v>531</v>
      </c>
      <c r="G453" t="s">
        <v>3</v>
      </c>
      <c r="H453" s="11">
        <v>65</v>
      </c>
      <c r="I453" s="18">
        <v>0.38279999999999997</v>
      </c>
      <c r="J453" s="18">
        <v>0.88819999999999999</v>
      </c>
      <c r="K453" s="18">
        <v>2.1738</v>
      </c>
      <c r="L453" s="18">
        <v>0.52100000000000002</v>
      </c>
    </row>
    <row r="454" spans="1:12">
      <c r="A454" t="s">
        <v>528</v>
      </c>
      <c r="B454">
        <v>0.3</v>
      </c>
      <c r="C454">
        <v>128</v>
      </c>
      <c r="D454" s="1" t="b">
        <v>0</v>
      </c>
      <c r="E454" t="s">
        <v>547</v>
      </c>
      <c r="F454" t="s">
        <v>531</v>
      </c>
      <c r="G454" t="s">
        <v>3</v>
      </c>
      <c r="H454" s="11">
        <v>74</v>
      </c>
      <c r="I454" s="18">
        <v>0.34210000000000002</v>
      </c>
      <c r="J454" s="18">
        <v>0.90339999999999998</v>
      </c>
      <c r="K454" s="18">
        <v>2.2010999999999998</v>
      </c>
      <c r="L454" s="18">
        <v>0.52100000000000002</v>
      </c>
    </row>
    <row r="455" spans="1:12">
      <c r="A455" t="s">
        <v>528</v>
      </c>
      <c r="B455">
        <v>0.1</v>
      </c>
      <c r="C455">
        <v>64</v>
      </c>
      <c r="D455" s="1" t="b">
        <v>0</v>
      </c>
      <c r="E455" t="s">
        <v>547</v>
      </c>
      <c r="F455" t="s">
        <v>531</v>
      </c>
      <c r="G455" t="s">
        <v>1</v>
      </c>
      <c r="H455" s="11">
        <v>42</v>
      </c>
      <c r="I455" s="18">
        <v>0.36270000000000002</v>
      </c>
      <c r="J455" s="18">
        <v>0.90349999999999997</v>
      </c>
      <c r="K455" s="18">
        <v>2.2126000000000001</v>
      </c>
      <c r="L455" s="18">
        <v>0.52100000000000002</v>
      </c>
    </row>
    <row r="456" spans="1:12">
      <c r="A456" t="s">
        <v>528</v>
      </c>
      <c r="B456">
        <v>0.1</v>
      </c>
      <c r="C456">
        <v>256</v>
      </c>
      <c r="D456" s="1" t="b">
        <v>1</v>
      </c>
      <c r="E456" t="s">
        <v>547</v>
      </c>
      <c r="F456" t="s">
        <v>532</v>
      </c>
      <c r="G456" t="s">
        <v>2</v>
      </c>
      <c r="H456" s="11">
        <v>290</v>
      </c>
      <c r="I456" s="18">
        <v>0.96130000000000004</v>
      </c>
      <c r="J456" s="18">
        <v>0.71360000000000001</v>
      </c>
      <c r="K456" s="18">
        <v>1.7736000000000001</v>
      </c>
      <c r="L456" s="18">
        <v>0.52049999999999996</v>
      </c>
    </row>
    <row r="457" spans="1:12">
      <c r="A457" t="s">
        <v>556</v>
      </c>
      <c r="B457">
        <v>0.1</v>
      </c>
      <c r="C457">
        <v>64</v>
      </c>
      <c r="D457" t="b">
        <v>0</v>
      </c>
      <c r="E457" t="s">
        <v>548</v>
      </c>
      <c r="F457" t="s">
        <v>532</v>
      </c>
      <c r="G457" t="s">
        <v>3</v>
      </c>
      <c r="H457">
        <v>32</v>
      </c>
      <c r="I457">
        <v>0.65300000000000002</v>
      </c>
      <c r="J457">
        <v>0.80630000000000002</v>
      </c>
      <c r="K457">
        <v>1.9233</v>
      </c>
      <c r="L457">
        <v>0.52049999999999996</v>
      </c>
    </row>
    <row r="458" spans="1:12">
      <c r="A458" t="s">
        <v>528</v>
      </c>
      <c r="B458">
        <v>0.5</v>
      </c>
      <c r="C458">
        <v>64</v>
      </c>
      <c r="D458" s="1" t="b">
        <v>1</v>
      </c>
      <c r="E458" t="s">
        <v>547</v>
      </c>
      <c r="F458" t="s">
        <v>531</v>
      </c>
      <c r="G458" t="s">
        <v>0</v>
      </c>
      <c r="H458" s="11">
        <v>69</v>
      </c>
      <c r="I458" s="18">
        <v>0.93140000000000001</v>
      </c>
      <c r="J458" s="18">
        <v>0.72340000000000004</v>
      </c>
      <c r="K458" s="18">
        <v>1.9557</v>
      </c>
      <c r="L458" s="18">
        <v>0.52049999999999996</v>
      </c>
    </row>
    <row r="459" spans="1:12">
      <c r="A459" t="s">
        <v>528</v>
      </c>
      <c r="B459">
        <v>0.5</v>
      </c>
      <c r="C459">
        <v>64</v>
      </c>
      <c r="D459" s="1" t="b">
        <v>1</v>
      </c>
      <c r="E459" t="s">
        <v>547</v>
      </c>
      <c r="F459" t="s">
        <v>531</v>
      </c>
      <c r="G459" t="s">
        <v>2</v>
      </c>
      <c r="H459" s="11">
        <v>69</v>
      </c>
      <c r="I459" s="18">
        <v>0.78180000000000005</v>
      </c>
      <c r="J459" s="18">
        <v>0.76549999999999996</v>
      </c>
      <c r="K459" s="18">
        <v>1.9753000000000001</v>
      </c>
      <c r="L459" s="18">
        <v>0.52049999999999996</v>
      </c>
    </row>
    <row r="460" spans="1:12">
      <c r="A460" t="s">
        <v>528</v>
      </c>
      <c r="B460">
        <v>0.3</v>
      </c>
      <c r="C460">
        <v>128</v>
      </c>
      <c r="D460" s="1" t="b">
        <v>1</v>
      </c>
      <c r="E460" t="s">
        <v>547</v>
      </c>
      <c r="F460" t="s">
        <v>531</v>
      </c>
      <c r="G460" t="s">
        <v>0</v>
      </c>
      <c r="H460" s="11">
        <v>138</v>
      </c>
      <c r="I460" s="18">
        <v>0.62729999999999997</v>
      </c>
      <c r="J460" s="18">
        <v>0.81630000000000003</v>
      </c>
      <c r="K460" s="18">
        <v>2.0162</v>
      </c>
      <c r="L460" s="18">
        <v>0.52049999999999996</v>
      </c>
    </row>
    <row r="461" spans="1:12">
      <c r="A461" t="s">
        <v>528</v>
      </c>
      <c r="B461">
        <v>0.3</v>
      </c>
      <c r="C461">
        <v>256</v>
      </c>
      <c r="D461" s="1" t="b">
        <v>1</v>
      </c>
      <c r="E461" t="s">
        <v>548</v>
      </c>
      <c r="F461" t="s">
        <v>531</v>
      </c>
      <c r="G461" t="s">
        <v>2</v>
      </c>
      <c r="H461" s="11">
        <v>277</v>
      </c>
      <c r="I461" s="18">
        <v>0.35120000000000001</v>
      </c>
      <c r="J461" s="18">
        <v>0.89639999999999997</v>
      </c>
      <c r="K461" s="18">
        <v>2.0709</v>
      </c>
      <c r="L461" s="18">
        <v>0.52049999999999996</v>
      </c>
    </row>
    <row r="462" spans="1:12">
      <c r="A462" t="s">
        <v>528</v>
      </c>
      <c r="B462">
        <v>0.1</v>
      </c>
      <c r="C462">
        <v>256</v>
      </c>
      <c r="D462" s="1" t="b">
        <v>0</v>
      </c>
      <c r="E462" t="s">
        <v>547</v>
      </c>
      <c r="F462" t="s">
        <v>531</v>
      </c>
      <c r="G462" t="s">
        <v>5</v>
      </c>
      <c r="H462" s="11">
        <v>165</v>
      </c>
      <c r="I462" s="18">
        <v>0.2069</v>
      </c>
      <c r="J462" s="18">
        <v>0.94099999999999995</v>
      </c>
      <c r="K462" s="18">
        <v>2.3220000000000001</v>
      </c>
      <c r="L462" s="18">
        <v>0.52049999999999996</v>
      </c>
    </row>
    <row r="463" spans="1:12">
      <c r="A463" t="s">
        <v>528</v>
      </c>
      <c r="B463">
        <v>0.1</v>
      </c>
      <c r="C463">
        <v>64</v>
      </c>
      <c r="D463" s="1" t="b">
        <v>1</v>
      </c>
      <c r="E463" t="s">
        <v>547</v>
      </c>
      <c r="F463" t="s">
        <v>532</v>
      </c>
      <c r="G463" t="s">
        <v>0</v>
      </c>
      <c r="H463" s="11">
        <v>85</v>
      </c>
      <c r="I463" s="18">
        <v>1.2235</v>
      </c>
      <c r="J463" s="18">
        <v>0.63370000000000004</v>
      </c>
      <c r="K463" s="18">
        <v>1.8409</v>
      </c>
      <c r="L463" s="18">
        <v>0.52</v>
      </c>
    </row>
    <row r="464" spans="1:12">
      <c r="A464" t="s">
        <v>528</v>
      </c>
      <c r="B464">
        <v>0.1</v>
      </c>
      <c r="C464">
        <v>128</v>
      </c>
      <c r="D464" s="1" t="b">
        <v>1</v>
      </c>
      <c r="E464" t="s">
        <v>547</v>
      </c>
      <c r="F464" t="s">
        <v>532</v>
      </c>
      <c r="G464" t="s">
        <v>4</v>
      </c>
      <c r="H464" s="11">
        <v>150</v>
      </c>
      <c r="I464" s="18">
        <v>0.85370000000000001</v>
      </c>
      <c r="J464" s="18">
        <v>0.746</v>
      </c>
      <c r="K464" s="18">
        <v>1.8445</v>
      </c>
      <c r="L464" s="18">
        <v>0.52</v>
      </c>
    </row>
    <row r="465" spans="1:12">
      <c r="A465" t="s">
        <v>528</v>
      </c>
      <c r="B465">
        <v>0.5</v>
      </c>
      <c r="C465">
        <v>256</v>
      </c>
      <c r="D465" s="1" t="b">
        <v>1</v>
      </c>
      <c r="E465" t="s">
        <v>548</v>
      </c>
      <c r="F465" t="s">
        <v>531</v>
      </c>
      <c r="G465" t="s">
        <v>2</v>
      </c>
      <c r="H465" s="11">
        <v>279</v>
      </c>
      <c r="I465" s="18">
        <v>0.52839999999999998</v>
      </c>
      <c r="J465" s="18">
        <v>0.84009999999999996</v>
      </c>
      <c r="K465" s="18">
        <v>1.9854000000000001</v>
      </c>
      <c r="L465" s="18">
        <v>0.52</v>
      </c>
    </row>
    <row r="466" spans="1:12">
      <c r="A466" t="s">
        <v>556</v>
      </c>
      <c r="B466">
        <v>0.3</v>
      </c>
      <c r="C466">
        <v>64</v>
      </c>
      <c r="D466" t="b">
        <v>0</v>
      </c>
      <c r="E466" t="s">
        <v>547</v>
      </c>
      <c r="F466" t="s">
        <v>531</v>
      </c>
      <c r="G466" t="s">
        <v>1</v>
      </c>
      <c r="H466">
        <v>35</v>
      </c>
      <c r="I466">
        <v>0.36449999999999999</v>
      </c>
      <c r="J466">
        <v>0.89900000000000002</v>
      </c>
      <c r="K466">
        <v>2.0186999999999999</v>
      </c>
      <c r="L466">
        <v>0.52</v>
      </c>
    </row>
    <row r="467" spans="1:12">
      <c r="A467" t="s">
        <v>528</v>
      </c>
      <c r="B467">
        <v>0.3</v>
      </c>
      <c r="C467">
        <v>256</v>
      </c>
      <c r="D467" s="1" t="b">
        <v>0</v>
      </c>
      <c r="E467" t="s">
        <v>547</v>
      </c>
      <c r="F467" t="s">
        <v>531</v>
      </c>
      <c r="G467" t="s">
        <v>4</v>
      </c>
      <c r="H467" s="11">
        <v>142</v>
      </c>
      <c r="I467" s="18">
        <v>0.27900000000000003</v>
      </c>
      <c r="J467" s="18">
        <v>0.92120000000000002</v>
      </c>
      <c r="K467" s="18">
        <v>2.2178</v>
      </c>
      <c r="L467" s="18">
        <v>0.52</v>
      </c>
    </row>
    <row r="468" spans="1:12">
      <c r="A468" t="s">
        <v>528</v>
      </c>
      <c r="B468">
        <v>0.3</v>
      </c>
      <c r="C468">
        <v>64</v>
      </c>
      <c r="D468" s="1" t="b">
        <v>0</v>
      </c>
      <c r="E468" t="s">
        <v>548</v>
      </c>
      <c r="F468" t="s">
        <v>531</v>
      </c>
      <c r="G468" t="s">
        <v>3</v>
      </c>
      <c r="H468" s="11">
        <v>42</v>
      </c>
      <c r="I468" s="18">
        <v>0.28249999999999997</v>
      </c>
      <c r="J468" s="18">
        <v>0.92330000000000001</v>
      </c>
      <c r="K468" s="18">
        <v>2.3155999999999999</v>
      </c>
      <c r="L468" s="18">
        <v>0.52</v>
      </c>
    </row>
    <row r="469" spans="1:12">
      <c r="A469" t="s">
        <v>528</v>
      </c>
      <c r="B469">
        <v>0.1</v>
      </c>
      <c r="C469">
        <v>128</v>
      </c>
      <c r="D469" s="1" t="b">
        <v>0</v>
      </c>
      <c r="E469" t="s">
        <v>547</v>
      </c>
      <c r="F469" t="s">
        <v>532</v>
      </c>
      <c r="G469" t="s">
        <v>1</v>
      </c>
      <c r="H469" s="11">
        <v>73</v>
      </c>
      <c r="I469" s="18">
        <v>1.1686000000000001</v>
      </c>
      <c r="J469" s="18">
        <v>0.66080000000000005</v>
      </c>
      <c r="K469" s="18">
        <v>1.7612000000000001</v>
      </c>
      <c r="L469" s="18">
        <v>0.51949999999999996</v>
      </c>
    </row>
    <row r="470" spans="1:12">
      <c r="A470" t="s">
        <v>556</v>
      </c>
      <c r="B470">
        <v>0.5</v>
      </c>
      <c r="C470">
        <v>64</v>
      </c>
      <c r="D470" t="b">
        <v>0</v>
      </c>
      <c r="E470" t="s">
        <v>547</v>
      </c>
      <c r="F470" t="s">
        <v>532</v>
      </c>
      <c r="G470" t="s">
        <v>1</v>
      </c>
      <c r="H470">
        <v>40</v>
      </c>
      <c r="I470">
        <v>1.2938000000000001</v>
      </c>
      <c r="J470">
        <v>0.61050000000000004</v>
      </c>
      <c r="K470">
        <v>1.7628999999999999</v>
      </c>
      <c r="L470">
        <v>0.51949999999999996</v>
      </c>
    </row>
    <row r="471" spans="1:12">
      <c r="A471" t="s">
        <v>556</v>
      </c>
      <c r="B471">
        <v>0.1</v>
      </c>
      <c r="C471">
        <v>256</v>
      </c>
      <c r="D471" t="b">
        <v>0</v>
      </c>
      <c r="E471" t="s">
        <v>548</v>
      </c>
      <c r="F471" t="s">
        <v>532</v>
      </c>
      <c r="G471" t="s">
        <v>2</v>
      </c>
      <c r="H471">
        <v>120</v>
      </c>
      <c r="I471">
        <v>0.61050000000000004</v>
      </c>
      <c r="J471">
        <v>0.81730000000000003</v>
      </c>
      <c r="K471">
        <v>1.8482000000000001</v>
      </c>
      <c r="L471">
        <v>0.51949999999999996</v>
      </c>
    </row>
    <row r="472" spans="1:12">
      <c r="A472" t="s">
        <v>528</v>
      </c>
      <c r="B472">
        <v>0.5</v>
      </c>
      <c r="C472">
        <v>64</v>
      </c>
      <c r="D472" s="1" t="b">
        <v>0</v>
      </c>
      <c r="E472" t="s">
        <v>547</v>
      </c>
      <c r="F472" t="s">
        <v>531</v>
      </c>
      <c r="G472" t="s">
        <v>0</v>
      </c>
      <c r="H472" s="11">
        <v>50</v>
      </c>
      <c r="I472" s="18">
        <v>0.70079999999999998</v>
      </c>
      <c r="J472" s="18">
        <v>0.80569999999999997</v>
      </c>
      <c r="K472" s="18">
        <v>2.0188000000000001</v>
      </c>
      <c r="L472" s="18">
        <v>0.51949999999999996</v>
      </c>
    </row>
    <row r="473" spans="1:12">
      <c r="A473" t="s">
        <v>556</v>
      </c>
      <c r="B473">
        <v>0.5</v>
      </c>
      <c r="C473">
        <v>64</v>
      </c>
      <c r="D473" t="b">
        <v>0</v>
      </c>
      <c r="E473" t="s">
        <v>548</v>
      </c>
      <c r="F473" t="s">
        <v>531</v>
      </c>
      <c r="G473" t="s">
        <v>1</v>
      </c>
      <c r="H473">
        <v>37</v>
      </c>
      <c r="I473">
        <v>0.42230000000000001</v>
      </c>
      <c r="J473">
        <v>0.878</v>
      </c>
      <c r="K473">
        <v>2.0956000000000001</v>
      </c>
      <c r="L473">
        <v>0.51949999999999996</v>
      </c>
    </row>
    <row r="474" spans="1:12">
      <c r="A474" t="s">
        <v>556</v>
      </c>
      <c r="B474">
        <v>0.1</v>
      </c>
      <c r="C474">
        <v>256</v>
      </c>
      <c r="D474" t="b">
        <v>0</v>
      </c>
      <c r="E474" t="s">
        <v>547</v>
      </c>
      <c r="F474" t="s">
        <v>531</v>
      </c>
      <c r="G474" t="s">
        <v>2</v>
      </c>
      <c r="H474">
        <v>116</v>
      </c>
      <c r="I474">
        <v>0.193</v>
      </c>
      <c r="J474">
        <v>0.94340000000000002</v>
      </c>
      <c r="K474">
        <v>2.1554000000000002</v>
      </c>
      <c r="L474">
        <v>0.51949999999999996</v>
      </c>
    </row>
    <row r="475" spans="1:12">
      <c r="A475" t="s">
        <v>528</v>
      </c>
      <c r="B475">
        <v>0.5</v>
      </c>
      <c r="C475">
        <v>128</v>
      </c>
      <c r="D475" s="1" t="b">
        <v>0</v>
      </c>
      <c r="E475" t="s">
        <v>548</v>
      </c>
      <c r="F475" t="s">
        <v>531</v>
      </c>
      <c r="G475" t="s">
        <v>5</v>
      </c>
      <c r="H475" s="11">
        <v>74</v>
      </c>
      <c r="I475" s="18">
        <v>0.2954</v>
      </c>
      <c r="J475" s="18">
        <v>0.91539999999999999</v>
      </c>
      <c r="K475" s="18">
        <v>2.1894</v>
      </c>
      <c r="L475" s="18">
        <v>0.51949999999999996</v>
      </c>
    </row>
    <row r="476" spans="1:12">
      <c r="A476" t="s">
        <v>528</v>
      </c>
      <c r="B476">
        <v>0.3</v>
      </c>
      <c r="C476">
        <v>64</v>
      </c>
      <c r="D476" s="1" t="b">
        <v>0</v>
      </c>
      <c r="E476" t="s">
        <v>547</v>
      </c>
      <c r="F476" t="s">
        <v>532</v>
      </c>
      <c r="G476" t="s">
        <v>1</v>
      </c>
      <c r="H476" s="11">
        <v>41</v>
      </c>
      <c r="I476" s="18">
        <v>1.4161999999999999</v>
      </c>
      <c r="J476" s="18">
        <v>0.56740000000000002</v>
      </c>
      <c r="K476" s="18">
        <v>1.8145</v>
      </c>
      <c r="L476" s="18">
        <v>0.51900000000000002</v>
      </c>
    </row>
    <row r="477" spans="1:12">
      <c r="A477" t="s">
        <v>528</v>
      </c>
      <c r="B477">
        <v>0.3</v>
      </c>
      <c r="C477">
        <v>128</v>
      </c>
      <c r="D477" s="1" t="b">
        <v>0</v>
      </c>
      <c r="E477" t="s">
        <v>547</v>
      </c>
      <c r="F477" t="s">
        <v>531</v>
      </c>
      <c r="G477" t="s">
        <v>0</v>
      </c>
      <c r="H477" s="11">
        <v>75</v>
      </c>
      <c r="I477" s="18">
        <v>0.51600000000000001</v>
      </c>
      <c r="J477" s="18">
        <v>0.85450000000000004</v>
      </c>
      <c r="K477" s="18">
        <v>2.0274000000000001</v>
      </c>
      <c r="L477" s="18">
        <v>0.51900000000000002</v>
      </c>
    </row>
    <row r="478" spans="1:12">
      <c r="A478" t="s">
        <v>528</v>
      </c>
      <c r="B478">
        <v>0.5</v>
      </c>
      <c r="C478">
        <v>128</v>
      </c>
      <c r="D478" s="1" t="b">
        <v>1</v>
      </c>
      <c r="E478" t="s">
        <v>547</v>
      </c>
      <c r="F478" t="s">
        <v>531</v>
      </c>
      <c r="G478" t="s">
        <v>2</v>
      </c>
      <c r="H478" s="11">
        <v>139</v>
      </c>
      <c r="I478" s="18">
        <v>0.69059999999999999</v>
      </c>
      <c r="J478" s="18">
        <v>0.79349999999999998</v>
      </c>
      <c r="K478" s="18">
        <v>2.0634000000000001</v>
      </c>
      <c r="L478" s="18">
        <v>0.51900000000000002</v>
      </c>
    </row>
    <row r="479" spans="1:12">
      <c r="A479" t="s">
        <v>528</v>
      </c>
      <c r="B479">
        <v>0.1</v>
      </c>
      <c r="C479">
        <v>256</v>
      </c>
      <c r="D479" s="1" t="b">
        <v>1</v>
      </c>
      <c r="E479" t="s">
        <v>547</v>
      </c>
      <c r="F479" t="s">
        <v>531</v>
      </c>
      <c r="G479" t="s">
        <v>3</v>
      </c>
      <c r="H479" s="11">
        <v>287</v>
      </c>
      <c r="I479" s="18">
        <v>0.34339999999999998</v>
      </c>
      <c r="J479" s="18">
        <v>0.89710000000000001</v>
      </c>
      <c r="K479" s="18">
        <v>2.0678000000000001</v>
      </c>
      <c r="L479" s="18">
        <v>0.51900000000000002</v>
      </c>
    </row>
    <row r="480" spans="1:12">
      <c r="A480" t="s">
        <v>528</v>
      </c>
      <c r="B480">
        <v>0.3</v>
      </c>
      <c r="C480">
        <v>128</v>
      </c>
      <c r="D480" s="1" t="b">
        <v>1</v>
      </c>
      <c r="E480" t="s">
        <v>548</v>
      </c>
      <c r="F480" t="s">
        <v>531</v>
      </c>
      <c r="G480" t="s">
        <v>0</v>
      </c>
      <c r="H480" s="11">
        <v>137</v>
      </c>
      <c r="I480" s="18">
        <v>0.432</v>
      </c>
      <c r="J480" s="18">
        <v>0.87450000000000006</v>
      </c>
      <c r="K480" s="18">
        <v>2.081</v>
      </c>
      <c r="L480" s="18">
        <v>0.51900000000000002</v>
      </c>
    </row>
    <row r="481" spans="1:12">
      <c r="A481" t="s">
        <v>528</v>
      </c>
      <c r="B481">
        <v>0.5</v>
      </c>
      <c r="C481">
        <v>128</v>
      </c>
      <c r="D481" s="1" t="b">
        <v>1</v>
      </c>
      <c r="E481" t="s">
        <v>548</v>
      </c>
      <c r="F481" t="s">
        <v>531</v>
      </c>
      <c r="G481" t="s">
        <v>4</v>
      </c>
      <c r="H481" s="11">
        <v>137</v>
      </c>
      <c r="I481" s="18">
        <v>0.46960000000000002</v>
      </c>
      <c r="J481" s="18">
        <v>0.85850000000000004</v>
      </c>
      <c r="K481" s="18">
        <v>2.1377000000000002</v>
      </c>
      <c r="L481" s="18">
        <v>0.51900000000000002</v>
      </c>
    </row>
    <row r="482" spans="1:12">
      <c r="A482" t="s">
        <v>528</v>
      </c>
      <c r="B482">
        <v>0.1</v>
      </c>
      <c r="C482">
        <v>128</v>
      </c>
      <c r="D482" s="1" t="b">
        <v>1</v>
      </c>
      <c r="E482" t="s">
        <v>547</v>
      </c>
      <c r="F482" t="s">
        <v>531</v>
      </c>
      <c r="G482" t="s">
        <v>5</v>
      </c>
      <c r="H482" s="11">
        <v>146</v>
      </c>
      <c r="I482" s="18">
        <v>0.28910000000000002</v>
      </c>
      <c r="J482" s="18">
        <v>0.91659999999999997</v>
      </c>
      <c r="K482" s="18">
        <v>2.2149000000000001</v>
      </c>
      <c r="L482" s="18">
        <v>0.51900000000000002</v>
      </c>
    </row>
    <row r="483" spans="1:12">
      <c r="A483" t="s">
        <v>556</v>
      </c>
      <c r="B483">
        <v>0.1</v>
      </c>
      <c r="C483">
        <v>256</v>
      </c>
      <c r="D483" t="b">
        <v>0</v>
      </c>
      <c r="E483" t="s">
        <v>548</v>
      </c>
      <c r="F483" t="s">
        <v>531</v>
      </c>
      <c r="G483" t="s">
        <v>0</v>
      </c>
      <c r="H483">
        <v>117</v>
      </c>
      <c r="I483">
        <v>0.23910000000000001</v>
      </c>
      <c r="J483">
        <v>0.93089999999999995</v>
      </c>
      <c r="K483">
        <v>2.0981000000000001</v>
      </c>
      <c r="L483">
        <v>0.51849999999999996</v>
      </c>
    </row>
    <row r="484" spans="1:12">
      <c r="A484" t="s">
        <v>556</v>
      </c>
      <c r="B484">
        <v>0.1</v>
      </c>
      <c r="C484">
        <v>256</v>
      </c>
      <c r="D484" t="b">
        <v>0</v>
      </c>
      <c r="E484" t="s">
        <v>547</v>
      </c>
      <c r="F484" t="s">
        <v>531</v>
      </c>
      <c r="G484" t="s">
        <v>4</v>
      </c>
      <c r="H484">
        <v>116</v>
      </c>
      <c r="I484">
        <v>0.1578</v>
      </c>
      <c r="J484">
        <v>0.95269999999999999</v>
      </c>
      <c r="K484">
        <v>2.2206000000000001</v>
      </c>
      <c r="L484">
        <v>0.51849999999999996</v>
      </c>
    </row>
    <row r="485" spans="1:12">
      <c r="A485" t="s">
        <v>556</v>
      </c>
      <c r="B485">
        <v>0.3</v>
      </c>
      <c r="C485">
        <v>128</v>
      </c>
      <c r="D485" t="b">
        <v>0</v>
      </c>
      <c r="E485" t="s">
        <v>548</v>
      </c>
      <c r="F485" t="s">
        <v>531</v>
      </c>
      <c r="G485" t="s">
        <v>4</v>
      </c>
      <c r="H485">
        <v>58</v>
      </c>
      <c r="I485">
        <v>0.1915</v>
      </c>
      <c r="J485">
        <v>0.94689999999999996</v>
      </c>
      <c r="K485">
        <v>2.2338</v>
      </c>
      <c r="L485">
        <v>0.51849999999999996</v>
      </c>
    </row>
    <row r="486" spans="1:12">
      <c r="A486" t="s">
        <v>528</v>
      </c>
      <c r="B486">
        <v>0.1</v>
      </c>
      <c r="C486">
        <v>256</v>
      </c>
      <c r="D486" s="1" t="b">
        <v>0</v>
      </c>
      <c r="E486" t="s">
        <v>547</v>
      </c>
      <c r="F486" t="s">
        <v>531</v>
      </c>
      <c r="G486" t="s">
        <v>4</v>
      </c>
      <c r="H486" s="11">
        <v>165</v>
      </c>
      <c r="I486" s="18">
        <v>0.23810000000000001</v>
      </c>
      <c r="J486" s="18">
        <v>0.93310000000000004</v>
      </c>
      <c r="K486" s="18">
        <v>2.2755000000000001</v>
      </c>
      <c r="L486" s="18">
        <v>0.51849999999999996</v>
      </c>
    </row>
    <row r="487" spans="1:12">
      <c r="A487" t="s">
        <v>528</v>
      </c>
      <c r="B487">
        <v>0.1</v>
      </c>
      <c r="C487">
        <v>256</v>
      </c>
      <c r="D487" s="1" t="b">
        <v>1</v>
      </c>
      <c r="E487" t="s">
        <v>548</v>
      </c>
      <c r="F487" t="s">
        <v>531</v>
      </c>
      <c r="G487" t="s">
        <v>5</v>
      </c>
      <c r="H487" s="11">
        <v>278</v>
      </c>
      <c r="I487" s="18">
        <v>0.19950000000000001</v>
      </c>
      <c r="J487" s="18">
        <v>0.9415</v>
      </c>
      <c r="K487" s="18">
        <v>2.3853</v>
      </c>
      <c r="L487" s="18">
        <v>0.51849999999999996</v>
      </c>
    </row>
    <row r="488" spans="1:12">
      <c r="A488" t="s">
        <v>528</v>
      </c>
      <c r="B488">
        <v>0.1</v>
      </c>
      <c r="C488">
        <v>256</v>
      </c>
      <c r="D488" s="1" t="b">
        <v>1</v>
      </c>
      <c r="E488" t="s">
        <v>548</v>
      </c>
      <c r="F488" t="s">
        <v>531</v>
      </c>
      <c r="G488" t="s">
        <v>4</v>
      </c>
      <c r="H488" s="11">
        <v>279</v>
      </c>
      <c r="I488" s="18">
        <v>0.23680000000000001</v>
      </c>
      <c r="J488" s="18">
        <v>0.9294</v>
      </c>
      <c r="K488" s="18">
        <v>2.4559000000000002</v>
      </c>
      <c r="L488" s="18">
        <v>0.51849999999999996</v>
      </c>
    </row>
    <row r="489" spans="1:12">
      <c r="A489" t="s">
        <v>528</v>
      </c>
      <c r="B489">
        <v>0.5</v>
      </c>
      <c r="C489">
        <v>64</v>
      </c>
      <c r="D489" s="1" t="b">
        <v>0</v>
      </c>
      <c r="E489" t="s">
        <v>548</v>
      </c>
      <c r="F489" t="s">
        <v>531</v>
      </c>
      <c r="G489" t="s">
        <v>5</v>
      </c>
      <c r="H489" s="11">
        <v>50</v>
      </c>
      <c r="I489" s="18">
        <v>0.29049999999999998</v>
      </c>
      <c r="J489" s="18">
        <v>0.91949999999999998</v>
      </c>
      <c r="K489" s="18">
        <v>2.3374999999999999</v>
      </c>
      <c r="L489" s="18">
        <v>0.51800000000000002</v>
      </c>
    </row>
    <row r="490" spans="1:12">
      <c r="A490" t="s">
        <v>528</v>
      </c>
      <c r="B490">
        <v>0.5</v>
      </c>
      <c r="C490">
        <v>128</v>
      </c>
      <c r="D490" s="1" t="b">
        <v>0</v>
      </c>
      <c r="E490" t="s">
        <v>547</v>
      </c>
      <c r="F490" t="s">
        <v>532</v>
      </c>
      <c r="G490" t="s">
        <v>1</v>
      </c>
      <c r="H490" s="11">
        <v>75</v>
      </c>
      <c r="I490" s="18">
        <v>1.4133</v>
      </c>
      <c r="J490" s="18">
        <v>0.57010000000000005</v>
      </c>
      <c r="K490" s="18">
        <v>1.7689999999999999</v>
      </c>
      <c r="L490" s="18">
        <v>0.51749999999999996</v>
      </c>
    </row>
    <row r="491" spans="1:12">
      <c r="A491" t="s">
        <v>528</v>
      </c>
      <c r="B491">
        <v>0.5</v>
      </c>
      <c r="C491">
        <v>64</v>
      </c>
      <c r="D491" s="1" t="b">
        <v>0</v>
      </c>
      <c r="E491" t="s">
        <v>547</v>
      </c>
      <c r="F491" t="s">
        <v>532</v>
      </c>
      <c r="G491" t="s">
        <v>3</v>
      </c>
      <c r="H491" s="11">
        <v>42</v>
      </c>
      <c r="I491" s="18">
        <v>1.3592</v>
      </c>
      <c r="J491" s="18">
        <v>0.58840000000000003</v>
      </c>
      <c r="K491" s="18">
        <v>1.7844</v>
      </c>
      <c r="L491" s="18">
        <v>0.51749999999999996</v>
      </c>
    </row>
    <row r="492" spans="1:12">
      <c r="A492" t="s">
        <v>528</v>
      </c>
      <c r="B492">
        <v>0.3</v>
      </c>
      <c r="C492">
        <v>256</v>
      </c>
      <c r="D492" s="1" t="b">
        <v>1</v>
      </c>
      <c r="E492" t="s">
        <v>548</v>
      </c>
      <c r="F492" t="s">
        <v>531</v>
      </c>
      <c r="G492" t="s">
        <v>1</v>
      </c>
      <c r="H492" s="11">
        <v>276</v>
      </c>
      <c r="I492" s="18">
        <v>0.38200000000000001</v>
      </c>
      <c r="J492" s="18">
        <v>0.89019999999999999</v>
      </c>
      <c r="K492" s="18">
        <v>2.0808</v>
      </c>
      <c r="L492" s="18">
        <v>0.51749999999999996</v>
      </c>
    </row>
    <row r="493" spans="1:12">
      <c r="A493" t="s">
        <v>528</v>
      </c>
      <c r="B493">
        <v>0.1</v>
      </c>
      <c r="C493">
        <v>128</v>
      </c>
      <c r="D493" s="1" t="b">
        <v>1</v>
      </c>
      <c r="E493" t="s">
        <v>548</v>
      </c>
      <c r="F493" t="s">
        <v>531</v>
      </c>
      <c r="G493" t="s">
        <v>5</v>
      </c>
      <c r="H493" s="11">
        <v>136</v>
      </c>
      <c r="I493" s="18">
        <v>0.22189999999999999</v>
      </c>
      <c r="J493" s="18">
        <v>0.93630000000000002</v>
      </c>
      <c r="K493" s="18">
        <v>2.3210000000000002</v>
      </c>
      <c r="L493" s="18">
        <v>0.51749999999999996</v>
      </c>
    </row>
    <row r="494" spans="1:12">
      <c r="A494" t="s">
        <v>528</v>
      </c>
      <c r="B494">
        <v>0.1</v>
      </c>
      <c r="C494">
        <v>64</v>
      </c>
      <c r="D494" s="1" t="b">
        <v>0</v>
      </c>
      <c r="E494" t="s">
        <v>548</v>
      </c>
      <c r="F494" t="s">
        <v>531</v>
      </c>
      <c r="G494" t="s">
        <v>2</v>
      </c>
      <c r="H494" s="11">
        <v>49</v>
      </c>
      <c r="I494" s="18">
        <v>0.2641</v>
      </c>
      <c r="J494" s="18">
        <v>0.93030000000000002</v>
      </c>
      <c r="K494" s="18">
        <v>2.3824999999999998</v>
      </c>
      <c r="L494" s="18">
        <v>0.51749999999999996</v>
      </c>
    </row>
    <row r="495" spans="1:12">
      <c r="A495" t="s">
        <v>528</v>
      </c>
      <c r="B495">
        <v>0.5</v>
      </c>
      <c r="C495">
        <v>64</v>
      </c>
      <c r="D495" s="1" t="b">
        <v>1</v>
      </c>
      <c r="E495" t="s">
        <v>548</v>
      </c>
      <c r="F495" t="s">
        <v>532</v>
      </c>
      <c r="G495" t="s">
        <v>2</v>
      </c>
      <c r="H495" s="11">
        <v>74</v>
      </c>
      <c r="I495" s="18">
        <v>1.0953999999999999</v>
      </c>
      <c r="J495" s="18">
        <v>0.67879999999999996</v>
      </c>
      <c r="K495" s="18">
        <v>1.8203</v>
      </c>
      <c r="L495" s="18">
        <v>0.51700000000000002</v>
      </c>
    </row>
    <row r="496" spans="1:12">
      <c r="A496" t="s">
        <v>528</v>
      </c>
      <c r="B496">
        <v>0.3</v>
      </c>
      <c r="C496">
        <v>64</v>
      </c>
      <c r="D496" s="1" t="b">
        <v>0</v>
      </c>
      <c r="E496" t="s">
        <v>548</v>
      </c>
      <c r="F496" t="s">
        <v>532</v>
      </c>
      <c r="G496" t="s">
        <v>0</v>
      </c>
      <c r="H496" s="11">
        <v>41</v>
      </c>
      <c r="I496" s="18">
        <v>1.0705</v>
      </c>
      <c r="J496" s="18">
        <v>0.69189999999999996</v>
      </c>
      <c r="K496" s="18">
        <v>1.8419000000000001</v>
      </c>
      <c r="L496" s="18">
        <v>0.51700000000000002</v>
      </c>
    </row>
    <row r="497" spans="1:12">
      <c r="A497" t="s">
        <v>556</v>
      </c>
      <c r="B497">
        <v>0.1</v>
      </c>
      <c r="C497">
        <v>128</v>
      </c>
      <c r="D497" t="b">
        <v>0</v>
      </c>
      <c r="E497" t="s">
        <v>548</v>
      </c>
      <c r="F497" t="s">
        <v>532</v>
      </c>
      <c r="G497" t="s">
        <v>3</v>
      </c>
      <c r="H497">
        <v>58</v>
      </c>
      <c r="I497">
        <v>0.54379999999999995</v>
      </c>
      <c r="J497">
        <v>0.84</v>
      </c>
      <c r="K497">
        <v>1.9176</v>
      </c>
      <c r="L497">
        <v>0.51700000000000002</v>
      </c>
    </row>
    <row r="498" spans="1:12">
      <c r="A498" t="s">
        <v>528</v>
      </c>
      <c r="B498">
        <v>0.5</v>
      </c>
      <c r="C498">
        <v>128</v>
      </c>
      <c r="D498" s="1" t="b">
        <v>0</v>
      </c>
      <c r="E498" t="s">
        <v>548</v>
      </c>
      <c r="F498" t="s">
        <v>531</v>
      </c>
      <c r="G498" t="s">
        <v>0</v>
      </c>
      <c r="H498" s="11">
        <v>75</v>
      </c>
      <c r="I498" s="18">
        <v>0.49</v>
      </c>
      <c r="J498" s="18">
        <v>0.85780000000000001</v>
      </c>
      <c r="K498" s="18">
        <v>1.9907999999999999</v>
      </c>
      <c r="L498" s="18">
        <v>0.51700000000000002</v>
      </c>
    </row>
    <row r="499" spans="1:12">
      <c r="A499" t="s">
        <v>528</v>
      </c>
      <c r="B499">
        <v>0.5</v>
      </c>
      <c r="C499">
        <v>64</v>
      </c>
      <c r="D499" s="1" t="b">
        <v>1</v>
      </c>
      <c r="E499" t="s">
        <v>548</v>
      </c>
      <c r="F499" t="s">
        <v>531</v>
      </c>
      <c r="G499" t="s">
        <v>4</v>
      </c>
      <c r="H499" s="11">
        <v>67</v>
      </c>
      <c r="I499" s="18">
        <v>0.54579999999999995</v>
      </c>
      <c r="J499" s="18">
        <v>0.8397</v>
      </c>
      <c r="K499" s="18">
        <v>2.0640000000000001</v>
      </c>
      <c r="L499" s="18">
        <v>0.51700000000000002</v>
      </c>
    </row>
    <row r="500" spans="1:12">
      <c r="A500" t="s">
        <v>528</v>
      </c>
      <c r="B500">
        <v>0.3</v>
      </c>
      <c r="C500">
        <v>256</v>
      </c>
      <c r="D500" s="1" t="b">
        <v>1</v>
      </c>
      <c r="E500" t="s">
        <v>547</v>
      </c>
      <c r="F500" t="s">
        <v>531</v>
      </c>
      <c r="G500" t="s">
        <v>4</v>
      </c>
      <c r="H500" s="11">
        <v>286</v>
      </c>
      <c r="I500" s="18">
        <v>0.41260000000000002</v>
      </c>
      <c r="J500" s="18">
        <v>0.87290000000000001</v>
      </c>
      <c r="K500" s="18">
        <v>2.1576</v>
      </c>
      <c r="L500" s="18">
        <v>0.51700000000000002</v>
      </c>
    </row>
    <row r="501" spans="1:12">
      <c r="A501" t="s">
        <v>528</v>
      </c>
      <c r="B501">
        <v>0.1</v>
      </c>
      <c r="C501">
        <v>64</v>
      </c>
      <c r="D501" s="1" t="b">
        <v>0</v>
      </c>
      <c r="E501" t="s">
        <v>547</v>
      </c>
      <c r="F501" t="s">
        <v>532</v>
      </c>
      <c r="G501" t="s">
        <v>1</v>
      </c>
      <c r="H501" s="11">
        <v>42</v>
      </c>
      <c r="I501" s="18">
        <v>1.2597</v>
      </c>
      <c r="J501" s="18">
        <v>0.62790000000000001</v>
      </c>
      <c r="K501" s="18">
        <v>1.8278000000000001</v>
      </c>
      <c r="L501" s="18">
        <v>0.51649999999999996</v>
      </c>
    </row>
    <row r="502" spans="1:12">
      <c r="A502" t="s">
        <v>556</v>
      </c>
      <c r="B502">
        <v>0.5</v>
      </c>
      <c r="C502">
        <v>128</v>
      </c>
      <c r="D502" t="b">
        <v>0</v>
      </c>
      <c r="E502" t="s">
        <v>548</v>
      </c>
      <c r="F502" t="s">
        <v>531</v>
      </c>
      <c r="G502" t="s">
        <v>0</v>
      </c>
      <c r="H502">
        <v>59</v>
      </c>
      <c r="I502">
        <v>0.42249999999999999</v>
      </c>
      <c r="J502">
        <v>0.875</v>
      </c>
      <c r="K502">
        <v>2.0407999999999999</v>
      </c>
      <c r="L502">
        <v>0.51649999999999996</v>
      </c>
    </row>
    <row r="503" spans="1:12">
      <c r="A503" t="s">
        <v>528</v>
      </c>
      <c r="B503">
        <v>0.3</v>
      </c>
      <c r="C503">
        <v>64</v>
      </c>
      <c r="D503" s="1" t="b">
        <v>1</v>
      </c>
      <c r="E503" t="s">
        <v>548</v>
      </c>
      <c r="F503" t="s">
        <v>531</v>
      </c>
      <c r="G503" t="s">
        <v>0</v>
      </c>
      <c r="H503" s="11">
        <v>66</v>
      </c>
      <c r="I503" s="18">
        <v>0.5272</v>
      </c>
      <c r="J503" s="18">
        <v>0.84350000000000003</v>
      </c>
      <c r="K503" s="18">
        <v>2.0882999999999998</v>
      </c>
      <c r="L503" s="18">
        <v>0.51649999999999996</v>
      </c>
    </row>
    <row r="504" spans="1:12">
      <c r="A504" t="s">
        <v>528</v>
      </c>
      <c r="B504">
        <v>0.3</v>
      </c>
      <c r="C504">
        <v>256</v>
      </c>
      <c r="D504" s="1" t="b">
        <v>0</v>
      </c>
      <c r="E504" t="s">
        <v>548</v>
      </c>
      <c r="F504" t="s">
        <v>531</v>
      </c>
      <c r="G504" t="s">
        <v>1</v>
      </c>
      <c r="H504" s="11">
        <v>141</v>
      </c>
      <c r="I504" s="18">
        <v>0.35859999999999997</v>
      </c>
      <c r="J504" s="18">
        <v>0.8962</v>
      </c>
      <c r="K504" s="18">
        <v>2.1006999999999998</v>
      </c>
      <c r="L504" s="18">
        <v>0.51649999999999996</v>
      </c>
    </row>
    <row r="505" spans="1:12">
      <c r="A505" t="s">
        <v>528</v>
      </c>
      <c r="B505">
        <v>0.3</v>
      </c>
      <c r="C505">
        <v>256</v>
      </c>
      <c r="D505" s="1" t="b">
        <v>1</v>
      </c>
      <c r="E505" t="s">
        <v>547</v>
      </c>
      <c r="F505" t="s">
        <v>531</v>
      </c>
      <c r="G505" t="s">
        <v>5</v>
      </c>
      <c r="H505" s="11">
        <v>287</v>
      </c>
      <c r="I505" s="18">
        <v>0.36799999999999999</v>
      </c>
      <c r="J505" s="18">
        <v>0.88959999999999995</v>
      </c>
      <c r="K505" s="18">
        <v>2.1472000000000002</v>
      </c>
      <c r="L505" s="18">
        <v>0.51649999999999996</v>
      </c>
    </row>
    <row r="506" spans="1:12">
      <c r="A506" t="s">
        <v>528</v>
      </c>
      <c r="B506">
        <v>0.1</v>
      </c>
      <c r="C506">
        <v>64</v>
      </c>
      <c r="D506" s="1" t="b">
        <v>0</v>
      </c>
      <c r="E506" t="s">
        <v>548</v>
      </c>
      <c r="F506" t="s">
        <v>531</v>
      </c>
      <c r="G506" t="s">
        <v>0</v>
      </c>
      <c r="H506" s="11">
        <v>49</v>
      </c>
      <c r="I506" s="18">
        <v>0.34620000000000001</v>
      </c>
      <c r="J506" s="18">
        <v>0.9073</v>
      </c>
      <c r="K506" s="18">
        <v>2.2025999999999999</v>
      </c>
      <c r="L506" s="18">
        <v>0.51649999999999996</v>
      </c>
    </row>
    <row r="507" spans="1:12">
      <c r="A507" t="s">
        <v>528</v>
      </c>
      <c r="B507">
        <v>0.5</v>
      </c>
      <c r="C507">
        <v>128</v>
      </c>
      <c r="D507" s="1" t="b">
        <v>1</v>
      </c>
      <c r="E507" t="s">
        <v>547</v>
      </c>
      <c r="F507" t="s">
        <v>532</v>
      </c>
      <c r="G507" t="s">
        <v>1</v>
      </c>
      <c r="H507" s="11">
        <v>142</v>
      </c>
      <c r="I507" s="18">
        <v>1.3315999999999999</v>
      </c>
      <c r="J507" s="18">
        <v>0.59789999999999999</v>
      </c>
      <c r="K507" s="18">
        <v>1.766</v>
      </c>
      <c r="L507" s="18">
        <v>0.51600000000000001</v>
      </c>
    </row>
    <row r="508" spans="1:12">
      <c r="A508" t="s">
        <v>528</v>
      </c>
      <c r="B508">
        <v>0.3</v>
      </c>
      <c r="C508">
        <v>256</v>
      </c>
      <c r="D508" s="1" t="b">
        <v>0</v>
      </c>
      <c r="E508" t="s">
        <v>547</v>
      </c>
      <c r="F508" t="s">
        <v>532</v>
      </c>
      <c r="G508" t="s">
        <v>0</v>
      </c>
      <c r="H508" s="11">
        <v>151</v>
      </c>
      <c r="I508" s="18">
        <v>1.3915999999999999</v>
      </c>
      <c r="J508" s="18">
        <v>0.58009999999999995</v>
      </c>
      <c r="K508" s="18">
        <v>1.7938000000000001</v>
      </c>
      <c r="L508" s="18">
        <v>0.51600000000000001</v>
      </c>
    </row>
    <row r="509" spans="1:12">
      <c r="A509" t="s">
        <v>528</v>
      </c>
      <c r="B509">
        <v>0.5</v>
      </c>
      <c r="C509">
        <v>128</v>
      </c>
      <c r="D509" s="1" t="b">
        <v>1</v>
      </c>
      <c r="E509" t="s">
        <v>547</v>
      </c>
      <c r="F509" t="s">
        <v>531</v>
      </c>
      <c r="G509" t="s">
        <v>3</v>
      </c>
      <c r="H509" s="11">
        <v>139</v>
      </c>
      <c r="I509" s="18">
        <v>0.63870000000000005</v>
      </c>
      <c r="J509" s="18">
        <v>0.80889999999999995</v>
      </c>
      <c r="K509" s="18">
        <v>1.9262999999999999</v>
      </c>
      <c r="L509" s="18">
        <v>0.51600000000000001</v>
      </c>
    </row>
    <row r="510" spans="1:12">
      <c r="A510" t="s">
        <v>528</v>
      </c>
      <c r="B510">
        <v>0.5</v>
      </c>
      <c r="C510">
        <v>64</v>
      </c>
      <c r="D510" s="1" t="b">
        <v>1</v>
      </c>
      <c r="E510" t="s">
        <v>547</v>
      </c>
      <c r="F510" t="s">
        <v>531</v>
      </c>
      <c r="G510" t="s">
        <v>5</v>
      </c>
      <c r="H510" s="11">
        <v>69</v>
      </c>
      <c r="I510" s="18">
        <v>0.63300000000000001</v>
      </c>
      <c r="J510" s="18">
        <v>0.81189999999999996</v>
      </c>
      <c r="K510" s="18">
        <v>2.0367000000000002</v>
      </c>
      <c r="L510" s="18">
        <v>0.51600000000000001</v>
      </c>
    </row>
    <row r="511" spans="1:12">
      <c r="A511" t="s">
        <v>528</v>
      </c>
      <c r="B511">
        <v>0.3</v>
      </c>
      <c r="C511">
        <v>256</v>
      </c>
      <c r="D511" s="1" t="b">
        <v>1</v>
      </c>
      <c r="E511" t="s">
        <v>548</v>
      </c>
      <c r="F511" t="s">
        <v>531</v>
      </c>
      <c r="G511" t="s">
        <v>5</v>
      </c>
      <c r="H511" s="11">
        <v>277</v>
      </c>
      <c r="I511" s="18">
        <v>0.2505</v>
      </c>
      <c r="J511" s="18">
        <v>0.92559999999999998</v>
      </c>
      <c r="K511" s="18">
        <v>2.2677</v>
      </c>
      <c r="L511" s="18">
        <v>0.51600000000000001</v>
      </c>
    </row>
    <row r="512" spans="1:12">
      <c r="A512" t="s">
        <v>556</v>
      </c>
      <c r="B512">
        <v>0.1</v>
      </c>
      <c r="C512">
        <v>128</v>
      </c>
      <c r="D512" t="b">
        <v>0</v>
      </c>
      <c r="E512" t="s">
        <v>548</v>
      </c>
      <c r="F512" t="s">
        <v>531</v>
      </c>
      <c r="G512" t="s">
        <v>3</v>
      </c>
      <c r="H512">
        <v>64</v>
      </c>
      <c r="I512">
        <v>0.16250000000000001</v>
      </c>
      <c r="J512">
        <v>0.95430000000000004</v>
      </c>
      <c r="K512">
        <v>2.3170999999999999</v>
      </c>
      <c r="L512">
        <v>0.51600000000000001</v>
      </c>
    </row>
    <row r="513" spans="1:12">
      <c r="A513" t="s">
        <v>556</v>
      </c>
      <c r="B513">
        <v>0.1</v>
      </c>
      <c r="C513">
        <v>256</v>
      </c>
      <c r="D513" t="b">
        <v>0</v>
      </c>
      <c r="E513" t="s">
        <v>548</v>
      </c>
      <c r="F513" t="s">
        <v>532</v>
      </c>
      <c r="G513" t="s">
        <v>3</v>
      </c>
      <c r="H513">
        <v>117</v>
      </c>
      <c r="I513">
        <v>0.53100000000000003</v>
      </c>
      <c r="J513">
        <v>0.83850000000000002</v>
      </c>
      <c r="K513">
        <v>1.8963000000000001</v>
      </c>
      <c r="L513">
        <v>0.51549999999999996</v>
      </c>
    </row>
    <row r="514" spans="1:12">
      <c r="A514" t="s">
        <v>528</v>
      </c>
      <c r="B514">
        <v>0.3</v>
      </c>
      <c r="C514">
        <v>64</v>
      </c>
      <c r="D514" s="1" t="b">
        <v>1</v>
      </c>
      <c r="E514" t="s">
        <v>548</v>
      </c>
      <c r="F514" t="s">
        <v>531</v>
      </c>
      <c r="G514" t="s">
        <v>2</v>
      </c>
      <c r="H514" s="11">
        <v>66</v>
      </c>
      <c r="I514" s="18">
        <v>0.42030000000000001</v>
      </c>
      <c r="J514" s="18">
        <v>0.87839999999999996</v>
      </c>
      <c r="K514" s="18">
        <v>2.0701999999999998</v>
      </c>
      <c r="L514" s="18">
        <v>0.51549999999999996</v>
      </c>
    </row>
    <row r="515" spans="1:12">
      <c r="A515" t="s">
        <v>528</v>
      </c>
      <c r="B515">
        <v>0.1</v>
      </c>
      <c r="C515">
        <v>256</v>
      </c>
      <c r="D515" s="1" t="b">
        <v>0</v>
      </c>
      <c r="E515" t="s">
        <v>547</v>
      </c>
      <c r="F515" t="s">
        <v>532</v>
      </c>
      <c r="G515" t="s">
        <v>0</v>
      </c>
      <c r="H515" s="11">
        <v>150</v>
      </c>
      <c r="I515" s="18">
        <v>1.2789999999999999</v>
      </c>
      <c r="J515" s="18">
        <v>0.61319999999999997</v>
      </c>
      <c r="K515" s="18">
        <v>1.7802</v>
      </c>
      <c r="L515" s="18">
        <v>0.51500000000000001</v>
      </c>
    </row>
    <row r="516" spans="1:12">
      <c r="A516" t="s">
        <v>556</v>
      </c>
      <c r="B516">
        <v>0.3</v>
      </c>
      <c r="C516">
        <v>64</v>
      </c>
      <c r="D516" t="b">
        <v>0</v>
      </c>
      <c r="E516" t="s">
        <v>548</v>
      </c>
      <c r="F516" t="s">
        <v>531</v>
      </c>
      <c r="G516" t="s">
        <v>0</v>
      </c>
      <c r="H516">
        <v>35</v>
      </c>
      <c r="I516">
        <v>0.38450000000000001</v>
      </c>
      <c r="J516">
        <v>0.89180000000000004</v>
      </c>
      <c r="K516">
        <v>2.1171000000000002</v>
      </c>
      <c r="L516">
        <v>0.51500000000000001</v>
      </c>
    </row>
    <row r="517" spans="1:12">
      <c r="A517" t="s">
        <v>528</v>
      </c>
      <c r="B517">
        <v>0.5</v>
      </c>
      <c r="C517">
        <v>64</v>
      </c>
      <c r="D517" s="1" t="b">
        <v>0</v>
      </c>
      <c r="E517" t="s">
        <v>548</v>
      </c>
      <c r="F517" t="s">
        <v>531</v>
      </c>
      <c r="G517" t="s">
        <v>1</v>
      </c>
      <c r="H517" s="11">
        <v>49</v>
      </c>
      <c r="I517" s="18">
        <v>0.44769999999999999</v>
      </c>
      <c r="J517" s="18">
        <v>0.875</v>
      </c>
      <c r="K517" s="18">
        <v>2.1781000000000001</v>
      </c>
      <c r="L517" s="18">
        <v>0.51500000000000001</v>
      </c>
    </row>
    <row r="518" spans="1:12">
      <c r="A518" t="s">
        <v>528</v>
      </c>
      <c r="B518">
        <v>0.1</v>
      </c>
      <c r="C518">
        <v>128</v>
      </c>
      <c r="D518" s="1" t="b">
        <v>1</v>
      </c>
      <c r="E518" t="s">
        <v>547</v>
      </c>
      <c r="F518" t="s">
        <v>531</v>
      </c>
      <c r="G518" t="s">
        <v>4</v>
      </c>
      <c r="H518" s="11">
        <v>149</v>
      </c>
      <c r="I518" s="18">
        <v>0.315</v>
      </c>
      <c r="J518" s="18">
        <v>0.90790000000000004</v>
      </c>
      <c r="K518" s="18">
        <v>2.2054</v>
      </c>
      <c r="L518" s="18">
        <v>0.51500000000000001</v>
      </c>
    </row>
    <row r="519" spans="1:12">
      <c r="A519" t="s">
        <v>528</v>
      </c>
      <c r="B519">
        <v>0.3</v>
      </c>
      <c r="C519">
        <v>64</v>
      </c>
      <c r="D519" s="1" t="b">
        <v>0</v>
      </c>
      <c r="E519" t="s">
        <v>548</v>
      </c>
      <c r="F519" t="s">
        <v>531</v>
      </c>
      <c r="G519" t="s">
        <v>1</v>
      </c>
      <c r="H519" s="11">
        <v>42</v>
      </c>
      <c r="I519" s="18">
        <v>0.33589999999999998</v>
      </c>
      <c r="J519" s="18">
        <v>0.90939999999999999</v>
      </c>
      <c r="K519" s="18">
        <v>2.2324000000000002</v>
      </c>
      <c r="L519" s="18">
        <v>0.51500000000000001</v>
      </c>
    </row>
    <row r="520" spans="1:12">
      <c r="A520" t="s">
        <v>528</v>
      </c>
      <c r="B520">
        <v>0.1</v>
      </c>
      <c r="C520">
        <v>64</v>
      </c>
      <c r="D520" s="1" t="b">
        <v>0</v>
      </c>
      <c r="E520" t="s">
        <v>547</v>
      </c>
      <c r="F520" t="s">
        <v>531</v>
      </c>
      <c r="G520" t="s">
        <v>5</v>
      </c>
      <c r="H520" s="11">
        <v>42</v>
      </c>
      <c r="I520" s="18">
        <v>0.2011</v>
      </c>
      <c r="J520" s="18">
        <v>0.9456</v>
      </c>
      <c r="K520" s="18">
        <v>2.4836</v>
      </c>
      <c r="L520" s="18">
        <v>0.51500000000000001</v>
      </c>
    </row>
    <row r="521" spans="1:12">
      <c r="A521" t="s">
        <v>528</v>
      </c>
      <c r="B521">
        <v>0.1</v>
      </c>
      <c r="C521">
        <v>128</v>
      </c>
      <c r="D521" s="1" t="b">
        <v>1</v>
      </c>
      <c r="E521" t="s">
        <v>547</v>
      </c>
      <c r="F521" t="s">
        <v>531</v>
      </c>
      <c r="G521" t="s">
        <v>0</v>
      </c>
      <c r="H521" s="11">
        <v>148</v>
      </c>
      <c r="I521" s="18">
        <v>0.49769999999999998</v>
      </c>
      <c r="J521" s="18">
        <v>0.85619999999999996</v>
      </c>
      <c r="K521" s="18">
        <v>2.0568</v>
      </c>
      <c r="L521" s="18">
        <v>0.51449999999999996</v>
      </c>
    </row>
    <row r="522" spans="1:12">
      <c r="A522" t="s">
        <v>556</v>
      </c>
      <c r="B522">
        <v>0.1</v>
      </c>
      <c r="C522">
        <v>64</v>
      </c>
      <c r="D522" t="b">
        <v>0</v>
      </c>
      <c r="E522" t="s">
        <v>547</v>
      </c>
      <c r="F522" t="s">
        <v>531</v>
      </c>
      <c r="G522" t="s">
        <v>2</v>
      </c>
      <c r="H522">
        <v>36</v>
      </c>
      <c r="I522">
        <v>0.25619999999999998</v>
      </c>
      <c r="J522">
        <v>0.9284</v>
      </c>
      <c r="K522">
        <v>2.2572999999999999</v>
      </c>
      <c r="L522">
        <v>0.51449999999999996</v>
      </c>
    </row>
    <row r="523" spans="1:12">
      <c r="A523" t="s">
        <v>528</v>
      </c>
      <c r="B523">
        <v>0.5</v>
      </c>
      <c r="C523">
        <v>128</v>
      </c>
      <c r="D523" s="1" t="b">
        <v>0</v>
      </c>
      <c r="E523" t="s">
        <v>548</v>
      </c>
      <c r="F523" t="s">
        <v>531</v>
      </c>
      <c r="G523" t="s">
        <v>4</v>
      </c>
      <c r="H523" s="11">
        <v>75</v>
      </c>
      <c r="I523" s="18">
        <v>0.31830000000000003</v>
      </c>
      <c r="J523" s="18">
        <v>0.90749999999999997</v>
      </c>
      <c r="K523" s="18">
        <v>2.2692000000000001</v>
      </c>
      <c r="L523" s="18">
        <v>0.51449999999999996</v>
      </c>
    </row>
    <row r="524" spans="1:12">
      <c r="A524" t="s">
        <v>556</v>
      </c>
      <c r="B524">
        <v>0.1</v>
      </c>
      <c r="C524">
        <v>128</v>
      </c>
      <c r="D524" t="b">
        <v>0</v>
      </c>
      <c r="E524" t="s">
        <v>548</v>
      </c>
      <c r="F524" t="s">
        <v>531</v>
      </c>
      <c r="G524" t="s">
        <v>5</v>
      </c>
      <c r="H524">
        <v>64</v>
      </c>
      <c r="I524">
        <v>0.13669999999999999</v>
      </c>
      <c r="J524">
        <v>0.95899999999999996</v>
      </c>
      <c r="K524">
        <v>2.4036</v>
      </c>
      <c r="L524">
        <v>0.51449999999999996</v>
      </c>
    </row>
    <row r="525" spans="1:12">
      <c r="A525" t="s">
        <v>528</v>
      </c>
      <c r="B525">
        <v>0.3</v>
      </c>
      <c r="C525">
        <v>256</v>
      </c>
      <c r="D525" s="1" t="b">
        <v>1</v>
      </c>
      <c r="E525" t="s">
        <v>547</v>
      </c>
      <c r="F525" t="s">
        <v>531</v>
      </c>
      <c r="G525" t="s">
        <v>1</v>
      </c>
      <c r="H525" s="11">
        <v>285</v>
      </c>
      <c r="I525" s="18">
        <v>0.51529999999999998</v>
      </c>
      <c r="J525" s="18">
        <v>0.84440000000000004</v>
      </c>
      <c r="K525" s="18">
        <v>2.0659000000000001</v>
      </c>
      <c r="L525" s="18">
        <v>0.51400000000000001</v>
      </c>
    </row>
    <row r="526" spans="1:12">
      <c r="A526" t="s">
        <v>528</v>
      </c>
      <c r="B526">
        <v>0.1</v>
      </c>
      <c r="C526">
        <v>256</v>
      </c>
      <c r="D526" s="1" t="b">
        <v>1</v>
      </c>
      <c r="E526" t="s">
        <v>547</v>
      </c>
      <c r="F526" t="s">
        <v>531</v>
      </c>
      <c r="G526" t="s">
        <v>2</v>
      </c>
      <c r="H526" s="11">
        <v>288</v>
      </c>
      <c r="I526" s="18">
        <v>0.39810000000000001</v>
      </c>
      <c r="J526" s="18">
        <v>0.88290000000000002</v>
      </c>
      <c r="K526" s="18">
        <v>2.0716999999999999</v>
      </c>
      <c r="L526" s="18">
        <v>0.51400000000000001</v>
      </c>
    </row>
    <row r="527" spans="1:12">
      <c r="A527" t="s">
        <v>528</v>
      </c>
      <c r="B527">
        <v>0.5</v>
      </c>
      <c r="C527">
        <v>64</v>
      </c>
      <c r="D527" s="1" t="b">
        <v>1</v>
      </c>
      <c r="E527" t="s">
        <v>547</v>
      </c>
      <c r="F527" t="s">
        <v>531</v>
      </c>
      <c r="G527" t="s">
        <v>4</v>
      </c>
      <c r="H527" s="11">
        <v>69</v>
      </c>
      <c r="I527" s="18">
        <v>0.67290000000000005</v>
      </c>
      <c r="J527" s="18">
        <v>0.80330000000000001</v>
      </c>
      <c r="K527" s="18">
        <v>2.0840999999999998</v>
      </c>
      <c r="L527" s="18">
        <v>0.51400000000000001</v>
      </c>
    </row>
    <row r="528" spans="1:12">
      <c r="A528" t="s">
        <v>528</v>
      </c>
      <c r="B528">
        <v>0.3</v>
      </c>
      <c r="C528">
        <v>128</v>
      </c>
      <c r="D528" s="1" t="b">
        <v>1</v>
      </c>
      <c r="E528" t="s">
        <v>548</v>
      </c>
      <c r="F528" t="s">
        <v>531</v>
      </c>
      <c r="G528" t="s">
        <v>2</v>
      </c>
      <c r="H528" s="11">
        <v>137</v>
      </c>
      <c r="I528" s="18">
        <v>0.33839999999999998</v>
      </c>
      <c r="J528" s="18">
        <v>0.9002</v>
      </c>
      <c r="K528" s="18">
        <v>2.2532000000000001</v>
      </c>
      <c r="L528" s="18">
        <v>0.51400000000000001</v>
      </c>
    </row>
    <row r="529" spans="1:12">
      <c r="A529" t="s">
        <v>528</v>
      </c>
      <c r="B529">
        <v>0.1</v>
      </c>
      <c r="C529">
        <v>64</v>
      </c>
      <c r="D529" s="1" t="b">
        <v>1</v>
      </c>
      <c r="E529" t="s">
        <v>547</v>
      </c>
      <c r="F529" t="s">
        <v>531</v>
      </c>
      <c r="G529" t="s">
        <v>2</v>
      </c>
      <c r="H529" s="11">
        <v>68</v>
      </c>
      <c r="I529" s="18">
        <v>0.45100000000000001</v>
      </c>
      <c r="J529" s="18">
        <v>0.86899999999999999</v>
      </c>
      <c r="K529" s="18">
        <v>2.3031999999999999</v>
      </c>
      <c r="L529" s="18">
        <v>0.51400000000000001</v>
      </c>
    </row>
    <row r="530" spans="1:12">
      <c r="A530" t="s">
        <v>556</v>
      </c>
      <c r="B530">
        <v>0.1</v>
      </c>
      <c r="C530">
        <v>64</v>
      </c>
      <c r="D530" t="b">
        <v>0</v>
      </c>
      <c r="E530" t="s">
        <v>548</v>
      </c>
      <c r="F530" t="s">
        <v>531</v>
      </c>
      <c r="G530" t="s">
        <v>4</v>
      </c>
      <c r="H530">
        <v>30</v>
      </c>
      <c r="I530">
        <v>0.1618</v>
      </c>
      <c r="J530">
        <v>0.95440000000000003</v>
      </c>
      <c r="K530">
        <v>2.3856999999999999</v>
      </c>
      <c r="L530">
        <v>0.51400000000000001</v>
      </c>
    </row>
    <row r="531" spans="1:12">
      <c r="A531" t="s">
        <v>556</v>
      </c>
      <c r="B531">
        <v>0.5</v>
      </c>
      <c r="C531">
        <v>64</v>
      </c>
      <c r="D531" t="b">
        <v>0</v>
      </c>
      <c r="E531" t="s">
        <v>547</v>
      </c>
      <c r="F531" t="s">
        <v>532</v>
      </c>
      <c r="G531" t="s">
        <v>0</v>
      </c>
      <c r="H531">
        <v>39</v>
      </c>
      <c r="I531">
        <v>1.3940999999999999</v>
      </c>
      <c r="J531">
        <v>0.58499999999999996</v>
      </c>
      <c r="K531">
        <v>1.7745</v>
      </c>
      <c r="L531">
        <v>0.51349999999999996</v>
      </c>
    </row>
    <row r="532" spans="1:12">
      <c r="A532" t="s">
        <v>528</v>
      </c>
      <c r="B532">
        <v>0.1</v>
      </c>
      <c r="C532">
        <v>128</v>
      </c>
      <c r="D532" s="1" t="b">
        <v>1</v>
      </c>
      <c r="E532" t="s">
        <v>548</v>
      </c>
      <c r="F532" t="s">
        <v>532</v>
      </c>
      <c r="G532" t="s">
        <v>0</v>
      </c>
      <c r="H532" s="11">
        <v>143</v>
      </c>
      <c r="I532" s="18">
        <v>0.78190000000000004</v>
      </c>
      <c r="J532" s="18">
        <v>0.7671</v>
      </c>
      <c r="K532" s="18">
        <v>1.8338000000000001</v>
      </c>
      <c r="L532" s="18">
        <v>0.51349999999999996</v>
      </c>
    </row>
    <row r="533" spans="1:12">
      <c r="A533" t="s">
        <v>528</v>
      </c>
      <c r="B533">
        <v>0.1</v>
      </c>
      <c r="C533">
        <v>64</v>
      </c>
      <c r="D533" s="1" t="b">
        <v>0</v>
      </c>
      <c r="E533" t="s">
        <v>548</v>
      </c>
      <c r="F533" t="s">
        <v>532</v>
      </c>
      <c r="G533" t="s">
        <v>0</v>
      </c>
      <c r="H533" s="11">
        <v>47</v>
      </c>
      <c r="I533" s="18">
        <v>0.94969999999999999</v>
      </c>
      <c r="J533" s="18">
        <v>0.72660000000000002</v>
      </c>
      <c r="K533" s="18">
        <v>1.8725000000000001</v>
      </c>
      <c r="L533" s="18">
        <v>0.51349999999999996</v>
      </c>
    </row>
    <row r="534" spans="1:12">
      <c r="A534" t="s">
        <v>528</v>
      </c>
      <c r="B534">
        <v>0.3</v>
      </c>
      <c r="C534">
        <v>128</v>
      </c>
      <c r="D534" s="1" t="b">
        <v>1</v>
      </c>
      <c r="E534" t="s">
        <v>548</v>
      </c>
      <c r="F534" t="s">
        <v>531</v>
      </c>
      <c r="G534" t="s">
        <v>4</v>
      </c>
      <c r="H534" s="11">
        <v>137</v>
      </c>
      <c r="I534" s="18">
        <v>0.29049999999999998</v>
      </c>
      <c r="J534" s="18">
        <v>0.91359999999999997</v>
      </c>
      <c r="K534" s="18">
        <v>2.2294999999999998</v>
      </c>
      <c r="L534" s="18">
        <v>0.51349999999999996</v>
      </c>
    </row>
    <row r="535" spans="1:12">
      <c r="A535" t="s">
        <v>528</v>
      </c>
      <c r="B535">
        <v>0.1</v>
      </c>
      <c r="C535">
        <v>256</v>
      </c>
      <c r="D535" s="1" t="b">
        <v>1</v>
      </c>
      <c r="E535" t="s">
        <v>548</v>
      </c>
      <c r="F535" t="s">
        <v>531</v>
      </c>
      <c r="G535" t="s">
        <v>0</v>
      </c>
      <c r="H535" s="11">
        <v>277</v>
      </c>
      <c r="I535" s="18">
        <v>0.35010000000000002</v>
      </c>
      <c r="J535" s="18">
        <v>0.89949999999999997</v>
      </c>
      <c r="K535" s="18">
        <v>2.2465999999999999</v>
      </c>
      <c r="L535" s="18">
        <v>0.51349999999999996</v>
      </c>
    </row>
    <row r="536" spans="1:12">
      <c r="A536" t="s">
        <v>528</v>
      </c>
      <c r="B536">
        <v>0.5</v>
      </c>
      <c r="C536">
        <v>64</v>
      </c>
      <c r="D536" s="1" t="b">
        <v>1</v>
      </c>
      <c r="E536" t="s">
        <v>547</v>
      </c>
      <c r="F536" t="s">
        <v>532</v>
      </c>
      <c r="G536" t="s">
        <v>3</v>
      </c>
      <c r="H536" s="11">
        <v>72</v>
      </c>
      <c r="I536" s="18">
        <v>1.3821000000000001</v>
      </c>
      <c r="J536" s="18">
        <v>0.58209999999999995</v>
      </c>
      <c r="K536" s="18">
        <v>1.861</v>
      </c>
      <c r="L536" s="18">
        <v>0.51300000000000001</v>
      </c>
    </row>
    <row r="537" spans="1:12">
      <c r="A537" t="s">
        <v>528</v>
      </c>
      <c r="B537">
        <v>0.5</v>
      </c>
      <c r="C537">
        <v>256</v>
      </c>
      <c r="D537" s="1" t="b">
        <v>1</v>
      </c>
      <c r="E537" t="s">
        <v>547</v>
      </c>
      <c r="F537" t="s">
        <v>531</v>
      </c>
      <c r="G537" t="s">
        <v>3</v>
      </c>
      <c r="H537" s="11">
        <v>295</v>
      </c>
      <c r="I537" s="18">
        <v>0.59670000000000001</v>
      </c>
      <c r="J537" s="18">
        <v>0.82010000000000005</v>
      </c>
      <c r="K537" s="18">
        <v>1.9656</v>
      </c>
      <c r="L537" s="18">
        <v>0.51300000000000001</v>
      </c>
    </row>
    <row r="538" spans="1:12">
      <c r="A538" t="s">
        <v>528</v>
      </c>
      <c r="B538">
        <v>0.1</v>
      </c>
      <c r="C538">
        <v>128</v>
      </c>
      <c r="D538" s="1" t="b">
        <v>1</v>
      </c>
      <c r="E538" t="s">
        <v>548</v>
      </c>
      <c r="F538" t="s">
        <v>531</v>
      </c>
      <c r="G538" t="s">
        <v>3</v>
      </c>
      <c r="H538" s="11">
        <v>136</v>
      </c>
      <c r="I538" s="18">
        <v>0.25779999999999997</v>
      </c>
      <c r="J538" s="18">
        <v>0.92449999999999999</v>
      </c>
      <c r="K538" s="18">
        <v>2.3691</v>
      </c>
      <c r="L538" s="18">
        <v>0.51300000000000001</v>
      </c>
    </row>
    <row r="539" spans="1:12">
      <c r="A539" t="s">
        <v>528</v>
      </c>
      <c r="B539">
        <v>0.3</v>
      </c>
      <c r="C539">
        <v>64</v>
      </c>
      <c r="D539" s="1" t="b">
        <v>0</v>
      </c>
      <c r="E539" t="s">
        <v>548</v>
      </c>
      <c r="F539" t="s">
        <v>531</v>
      </c>
      <c r="G539" t="s">
        <v>4</v>
      </c>
      <c r="H539" s="11">
        <v>42</v>
      </c>
      <c r="I539" s="18">
        <v>0.25309999999999999</v>
      </c>
      <c r="J539" s="18">
        <v>0.93149999999999999</v>
      </c>
      <c r="K539" s="18">
        <v>2.4828000000000001</v>
      </c>
      <c r="L539" s="18">
        <v>0.51300000000000001</v>
      </c>
    </row>
    <row r="540" spans="1:12">
      <c r="A540" t="s">
        <v>556</v>
      </c>
      <c r="B540">
        <v>0.5</v>
      </c>
      <c r="C540">
        <v>64</v>
      </c>
      <c r="D540" t="b">
        <v>0</v>
      </c>
      <c r="E540" t="s">
        <v>548</v>
      </c>
      <c r="F540" t="s">
        <v>532</v>
      </c>
      <c r="G540" t="s">
        <v>0</v>
      </c>
      <c r="H540">
        <v>36</v>
      </c>
      <c r="I540">
        <v>1.1944999999999999</v>
      </c>
      <c r="J540">
        <v>0.64339999999999997</v>
      </c>
      <c r="K540">
        <v>1.7955000000000001</v>
      </c>
      <c r="L540">
        <v>0.51249999999999996</v>
      </c>
    </row>
    <row r="541" spans="1:12">
      <c r="A541" t="s">
        <v>556</v>
      </c>
      <c r="B541">
        <v>0.3</v>
      </c>
      <c r="C541">
        <v>64</v>
      </c>
      <c r="D541" t="b">
        <v>0</v>
      </c>
      <c r="E541" t="s">
        <v>548</v>
      </c>
      <c r="F541" t="s">
        <v>532</v>
      </c>
      <c r="G541" t="s">
        <v>0</v>
      </c>
      <c r="H541">
        <v>34</v>
      </c>
      <c r="I541">
        <v>1.0279</v>
      </c>
      <c r="J541">
        <v>0.69399999999999995</v>
      </c>
      <c r="K541">
        <v>1.8152999999999999</v>
      </c>
      <c r="L541">
        <v>0.51249999999999996</v>
      </c>
    </row>
    <row r="542" spans="1:12">
      <c r="A542" t="s">
        <v>528</v>
      </c>
      <c r="B542">
        <v>0.3</v>
      </c>
      <c r="C542">
        <v>64</v>
      </c>
      <c r="D542" s="1" t="b">
        <v>1</v>
      </c>
      <c r="E542" t="s">
        <v>547</v>
      </c>
      <c r="F542" t="s">
        <v>532</v>
      </c>
      <c r="G542" t="s">
        <v>0</v>
      </c>
      <c r="H542" s="11">
        <v>72</v>
      </c>
      <c r="I542" s="18">
        <v>1.3460000000000001</v>
      </c>
      <c r="J542" s="18">
        <v>0.60389999999999999</v>
      </c>
      <c r="K542" s="18">
        <v>1.8489</v>
      </c>
      <c r="L542" s="18">
        <v>0.51249999999999996</v>
      </c>
    </row>
    <row r="543" spans="1:12">
      <c r="A543" t="s">
        <v>528</v>
      </c>
      <c r="B543">
        <v>0.3</v>
      </c>
      <c r="C543">
        <v>64</v>
      </c>
      <c r="D543" s="1" t="b">
        <v>1</v>
      </c>
      <c r="E543" t="s">
        <v>547</v>
      </c>
      <c r="F543" t="s">
        <v>531</v>
      </c>
      <c r="G543" t="s">
        <v>5</v>
      </c>
      <c r="H543" s="11">
        <v>68</v>
      </c>
      <c r="I543" s="18">
        <v>0.46660000000000001</v>
      </c>
      <c r="J543" s="18">
        <v>0.86419999999999997</v>
      </c>
      <c r="K543" s="18">
        <v>2.2528000000000001</v>
      </c>
      <c r="L543" s="18">
        <v>0.51249999999999996</v>
      </c>
    </row>
    <row r="544" spans="1:12">
      <c r="A544" t="s">
        <v>528</v>
      </c>
      <c r="B544">
        <v>0.5</v>
      </c>
      <c r="C544">
        <v>128</v>
      </c>
      <c r="D544" s="1" t="b">
        <v>1</v>
      </c>
      <c r="E544" t="s">
        <v>547</v>
      </c>
      <c r="F544" t="s">
        <v>531</v>
      </c>
      <c r="G544" t="s">
        <v>0</v>
      </c>
      <c r="H544" s="11">
        <v>140</v>
      </c>
      <c r="I544" s="18">
        <v>0.83530000000000004</v>
      </c>
      <c r="J544" s="18">
        <v>0.74639999999999995</v>
      </c>
      <c r="K544" s="18">
        <v>1.9842</v>
      </c>
      <c r="L544" s="18">
        <v>0.51200000000000001</v>
      </c>
    </row>
    <row r="545" spans="1:12">
      <c r="A545" t="s">
        <v>528</v>
      </c>
      <c r="B545">
        <v>0.1</v>
      </c>
      <c r="C545">
        <v>64</v>
      </c>
      <c r="D545" s="1" t="b">
        <v>0</v>
      </c>
      <c r="E545" t="s">
        <v>547</v>
      </c>
      <c r="F545" t="s">
        <v>531</v>
      </c>
      <c r="G545" t="s">
        <v>0</v>
      </c>
      <c r="H545" s="11">
        <v>42</v>
      </c>
      <c r="I545" s="18">
        <v>0.41570000000000001</v>
      </c>
      <c r="J545" s="18">
        <v>0.88900000000000001</v>
      </c>
      <c r="K545" s="18">
        <v>2.1686999999999999</v>
      </c>
      <c r="L545" s="18">
        <v>0.51200000000000001</v>
      </c>
    </row>
    <row r="546" spans="1:12">
      <c r="A546" t="s">
        <v>528</v>
      </c>
      <c r="B546">
        <v>0.1</v>
      </c>
      <c r="C546">
        <v>256</v>
      </c>
      <c r="D546" s="1" t="b">
        <v>0</v>
      </c>
      <c r="E546" t="s">
        <v>547</v>
      </c>
      <c r="F546" t="s">
        <v>531</v>
      </c>
      <c r="G546" t="s">
        <v>3</v>
      </c>
      <c r="H546" s="11">
        <v>165</v>
      </c>
      <c r="I546" s="18">
        <v>0.26150000000000001</v>
      </c>
      <c r="J546" s="18">
        <v>0.92630000000000001</v>
      </c>
      <c r="K546" s="18">
        <v>2.2892999999999999</v>
      </c>
      <c r="L546" s="18">
        <v>0.51200000000000001</v>
      </c>
    </row>
    <row r="547" spans="1:12">
      <c r="A547" t="s">
        <v>556</v>
      </c>
      <c r="B547">
        <v>0.1</v>
      </c>
      <c r="C547">
        <v>64</v>
      </c>
      <c r="D547" t="b">
        <v>0</v>
      </c>
      <c r="E547" t="s">
        <v>547</v>
      </c>
      <c r="F547" t="s">
        <v>531</v>
      </c>
      <c r="G547" t="s">
        <v>4</v>
      </c>
      <c r="H547">
        <v>32</v>
      </c>
      <c r="I547">
        <v>0.22309999999999999</v>
      </c>
      <c r="J547">
        <v>0.93740000000000001</v>
      </c>
      <c r="K547">
        <v>2.3147000000000002</v>
      </c>
      <c r="L547">
        <v>0.51200000000000001</v>
      </c>
    </row>
    <row r="548" spans="1:12">
      <c r="A548" t="s">
        <v>528</v>
      </c>
      <c r="B548">
        <v>0.5</v>
      </c>
      <c r="C548">
        <v>64</v>
      </c>
      <c r="D548" s="1" t="b">
        <v>0</v>
      </c>
      <c r="E548" t="s">
        <v>547</v>
      </c>
      <c r="F548" t="s">
        <v>532</v>
      </c>
      <c r="G548" t="s">
        <v>4</v>
      </c>
      <c r="H548" s="11">
        <v>41</v>
      </c>
      <c r="I548" s="18">
        <v>1.2730999999999999</v>
      </c>
      <c r="J548" s="18">
        <v>0.62070000000000003</v>
      </c>
      <c r="K548" s="18">
        <v>1.7847999999999999</v>
      </c>
      <c r="L548" s="18">
        <v>0.51149999999999995</v>
      </c>
    </row>
    <row r="549" spans="1:12">
      <c r="A549" t="s">
        <v>528</v>
      </c>
      <c r="B549">
        <v>0.3</v>
      </c>
      <c r="C549">
        <v>128</v>
      </c>
      <c r="D549" s="1" t="b">
        <v>1</v>
      </c>
      <c r="E549" t="s">
        <v>548</v>
      </c>
      <c r="F549" t="s">
        <v>532</v>
      </c>
      <c r="G549" t="s">
        <v>4</v>
      </c>
      <c r="H549" s="11">
        <v>141</v>
      </c>
      <c r="I549" s="18">
        <v>0.70479999999999998</v>
      </c>
      <c r="J549" s="18">
        <v>0.79400000000000004</v>
      </c>
      <c r="K549" s="18">
        <v>1.9567000000000001</v>
      </c>
      <c r="L549" s="18">
        <v>0.51149999999999995</v>
      </c>
    </row>
    <row r="550" spans="1:12">
      <c r="A550" t="s">
        <v>556</v>
      </c>
      <c r="B550">
        <v>0.1</v>
      </c>
      <c r="C550">
        <v>256</v>
      </c>
      <c r="D550" t="b">
        <v>0</v>
      </c>
      <c r="E550" t="s">
        <v>548</v>
      </c>
      <c r="F550" t="s">
        <v>531</v>
      </c>
      <c r="G550" t="s">
        <v>5</v>
      </c>
      <c r="H550">
        <v>117</v>
      </c>
      <c r="I550">
        <v>0.13550000000000001</v>
      </c>
      <c r="J550">
        <v>0.96130000000000004</v>
      </c>
      <c r="K550">
        <v>2.3530000000000002</v>
      </c>
      <c r="L550">
        <v>0.51149999999999995</v>
      </c>
    </row>
    <row r="551" spans="1:12">
      <c r="A551" t="s">
        <v>528</v>
      </c>
      <c r="B551">
        <v>0.3</v>
      </c>
      <c r="C551">
        <v>64</v>
      </c>
      <c r="D551" s="1" t="b">
        <v>0</v>
      </c>
      <c r="E551" t="s">
        <v>548</v>
      </c>
      <c r="F551" t="s">
        <v>531</v>
      </c>
      <c r="G551" t="s">
        <v>5</v>
      </c>
      <c r="H551" s="11">
        <v>42</v>
      </c>
      <c r="I551" s="18">
        <v>0.23949999999999999</v>
      </c>
      <c r="J551" s="18">
        <v>0.93369999999999997</v>
      </c>
      <c r="K551" s="18">
        <v>2.3561000000000001</v>
      </c>
      <c r="L551" s="18">
        <v>0.51149999999999995</v>
      </c>
    </row>
    <row r="552" spans="1:12">
      <c r="A552" t="s">
        <v>528</v>
      </c>
      <c r="B552">
        <v>0.1</v>
      </c>
      <c r="C552">
        <v>256</v>
      </c>
      <c r="D552" s="1" t="b">
        <v>0</v>
      </c>
      <c r="E552" t="s">
        <v>548</v>
      </c>
      <c r="F552" t="s">
        <v>531</v>
      </c>
      <c r="G552" t="s">
        <v>5</v>
      </c>
      <c r="H552" s="11">
        <v>138</v>
      </c>
      <c r="I552" s="18">
        <v>0.1709</v>
      </c>
      <c r="J552" s="18">
        <v>0.95169999999999999</v>
      </c>
      <c r="K552" s="18">
        <v>2.4615999999999998</v>
      </c>
      <c r="L552" s="18">
        <v>0.51149999999999995</v>
      </c>
    </row>
    <row r="553" spans="1:12">
      <c r="A553" t="s">
        <v>528</v>
      </c>
      <c r="B553">
        <v>0.5</v>
      </c>
      <c r="C553">
        <v>128</v>
      </c>
      <c r="D553" s="1" t="b">
        <v>1</v>
      </c>
      <c r="E553" t="s">
        <v>547</v>
      </c>
      <c r="F553" t="s">
        <v>531</v>
      </c>
      <c r="G553" t="s">
        <v>1</v>
      </c>
      <c r="H553" s="11">
        <v>140</v>
      </c>
      <c r="I553" s="18">
        <v>0.76139999999999997</v>
      </c>
      <c r="J553" s="18">
        <v>0.76659999999999995</v>
      </c>
      <c r="K553" s="18">
        <v>1.9433</v>
      </c>
      <c r="L553" s="18">
        <v>0.51100000000000001</v>
      </c>
    </row>
    <row r="554" spans="1:12">
      <c r="A554" t="s">
        <v>528</v>
      </c>
      <c r="B554">
        <v>0.3</v>
      </c>
      <c r="C554">
        <v>128</v>
      </c>
      <c r="D554" s="1" t="b">
        <v>1</v>
      </c>
      <c r="E554" t="s">
        <v>547</v>
      </c>
      <c r="F554" t="s">
        <v>531</v>
      </c>
      <c r="G554" t="s">
        <v>3</v>
      </c>
      <c r="H554" s="11">
        <v>139</v>
      </c>
      <c r="I554" s="18">
        <v>0.4446</v>
      </c>
      <c r="J554" s="18">
        <v>0.87170000000000003</v>
      </c>
      <c r="K554" s="18">
        <v>2.1677</v>
      </c>
      <c r="L554" s="18">
        <v>0.51100000000000001</v>
      </c>
    </row>
    <row r="555" spans="1:12">
      <c r="A555" t="s">
        <v>528</v>
      </c>
      <c r="B555">
        <v>0.3</v>
      </c>
      <c r="C555">
        <v>128</v>
      </c>
      <c r="D555" s="1" t="b">
        <v>1</v>
      </c>
      <c r="E555" t="s">
        <v>547</v>
      </c>
      <c r="F555" t="s">
        <v>531</v>
      </c>
      <c r="G555" t="s">
        <v>4</v>
      </c>
      <c r="H555" s="11">
        <v>139</v>
      </c>
      <c r="I555" s="18">
        <v>0.41460000000000002</v>
      </c>
      <c r="J555" s="18">
        <v>0.87639999999999996</v>
      </c>
      <c r="K555" s="18">
        <v>2.2157</v>
      </c>
      <c r="L555" s="18">
        <v>0.51100000000000001</v>
      </c>
    </row>
    <row r="556" spans="1:12">
      <c r="A556" t="s">
        <v>556</v>
      </c>
      <c r="B556">
        <v>0.3</v>
      </c>
      <c r="C556">
        <v>64</v>
      </c>
      <c r="D556" t="b">
        <v>0</v>
      </c>
      <c r="E556" t="s">
        <v>547</v>
      </c>
      <c r="F556" t="s">
        <v>531</v>
      </c>
      <c r="G556" t="s">
        <v>4</v>
      </c>
      <c r="H556">
        <v>39</v>
      </c>
      <c r="I556">
        <v>0.25690000000000002</v>
      </c>
      <c r="J556">
        <v>0.93030000000000002</v>
      </c>
      <c r="K556">
        <v>2.2242000000000002</v>
      </c>
      <c r="L556">
        <v>0.51100000000000001</v>
      </c>
    </row>
    <row r="557" spans="1:12">
      <c r="A557" t="s">
        <v>556</v>
      </c>
      <c r="B557">
        <v>0.1</v>
      </c>
      <c r="C557">
        <v>64</v>
      </c>
      <c r="D557" t="b">
        <v>0</v>
      </c>
      <c r="E557" t="s">
        <v>547</v>
      </c>
      <c r="F557" t="s">
        <v>531</v>
      </c>
      <c r="G557" t="s">
        <v>3</v>
      </c>
      <c r="H557">
        <v>33</v>
      </c>
      <c r="I557">
        <v>0.2281</v>
      </c>
      <c r="J557">
        <v>0.93769999999999998</v>
      </c>
      <c r="K557">
        <v>2.3027000000000002</v>
      </c>
      <c r="L557">
        <v>0.51100000000000001</v>
      </c>
    </row>
    <row r="558" spans="1:12">
      <c r="A558" t="s">
        <v>528</v>
      </c>
      <c r="B558">
        <v>0.3</v>
      </c>
      <c r="C558">
        <v>256</v>
      </c>
      <c r="D558" s="1" t="b">
        <v>0</v>
      </c>
      <c r="E558" t="s">
        <v>548</v>
      </c>
      <c r="F558" t="s">
        <v>531</v>
      </c>
      <c r="G558" t="s">
        <v>0</v>
      </c>
      <c r="H558" s="11">
        <v>142</v>
      </c>
      <c r="I558" s="18">
        <v>0.4178</v>
      </c>
      <c r="J558" s="18">
        <v>0.88149999999999995</v>
      </c>
      <c r="K558" s="18">
        <v>2.1459000000000001</v>
      </c>
      <c r="L558" s="18">
        <v>0.51</v>
      </c>
    </row>
    <row r="559" spans="1:12">
      <c r="A559" t="s">
        <v>528</v>
      </c>
      <c r="B559">
        <v>0.5</v>
      </c>
      <c r="C559">
        <v>64</v>
      </c>
      <c r="D559" s="1" t="b">
        <v>0</v>
      </c>
      <c r="E559" t="s">
        <v>547</v>
      </c>
      <c r="F559" t="s">
        <v>532</v>
      </c>
      <c r="G559" t="s">
        <v>1</v>
      </c>
      <c r="H559" s="11">
        <v>42</v>
      </c>
      <c r="I559" s="18">
        <v>1.5009999999999999</v>
      </c>
      <c r="J559" s="18">
        <v>0.54369999999999996</v>
      </c>
      <c r="K559" s="18">
        <v>1.806</v>
      </c>
      <c r="L559" s="18">
        <v>0.50949999999999995</v>
      </c>
    </row>
    <row r="560" spans="1:12">
      <c r="A560" t="s">
        <v>528</v>
      </c>
      <c r="B560">
        <v>0.3</v>
      </c>
      <c r="C560">
        <v>256</v>
      </c>
      <c r="D560" s="1" t="b">
        <v>1</v>
      </c>
      <c r="E560" t="s">
        <v>547</v>
      </c>
      <c r="F560" t="s">
        <v>531</v>
      </c>
      <c r="G560" t="s">
        <v>0</v>
      </c>
      <c r="H560" s="11">
        <v>285</v>
      </c>
      <c r="I560" s="18">
        <v>0.61939999999999995</v>
      </c>
      <c r="J560" s="18">
        <v>0.81810000000000005</v>
      </c>
      <c r="K560" s="18">
        <v>1.9811000000000001</v>
      </c>
      <c r="L560" s="18">
        <v>0.50949999999999995</v>
      </c>
    </row>
    <row r="561" spans="1:12">
      <c r="A561" t="s">
        <v>528</v>
      </c>
      <c r="B561">
        <v>0.3</v>
      </c>
      <c r="C561">
        <v>64</v>
      </c>
      <c r="D561" s="1" t="b">
        <v>1</v>
      </c>
      <c r="E561" t="s">
        <v>548</v>
      </c>
      <c r="F561" t="s">
        <v>531</v>
      </c>
      <c r="G561" t="s">
        <v>1</v>
      </c>
      <c r="H561" s="11">
        <v>65</v>
      </c>
      <c r="I561" s="18">
        <v>0.46439999999999998</v>
      </c>
      <c r="J561" s="18">
        <v>0.86680000000000001</v>
      </c>
      <c r="K561" s="18">
        <v>2.0293000000000001</v>
      </c>
      <c r="L561" s="18">
        <v>0.50949999999999995</v>
      </c>
    </row>
    <row r="562" spans="1:12">
      <c r="A562" t="s">
        <v>528</v>
      </c>
      <c r="B562">
        <v>0.3</v>
      </c>
      <c r="C562">
        <v>64</v>
      </c>
      <c r="D562" s="1" t="b">
        <v>1</v>
      </c>
      <c r="E562" t="s">
        <v>547</v>
      </c>
      <c r="F562" t="s">
        <v>531</v>
      </c>
      <c r="G562" t="s">
        <v>4</v>
      </c>
      <c r="H562" s="11">
        <v>68</v>
      </c>
      <c r="I562" s="18">
        <v>0.48089999999999999</v>
      </c>
      <c r="J562" s="18">
        <v>0.86009999999999998</v>
      </c>
      <c r="K562" s="18">
        <v>2.1869999999999998</v>
      </c>
      <c r="L562" s="18">
        <v>0.50949999999999995</v>
      </c>
    </row>
    <row r="563" spans="1:12">
      <c r="A563" t="s">
        <v>528</v>
      </c>
      <c r="B563">
        <v>0.1</v>
      </c>
      <c r="C563">
        <v>128</v>
      </c>
      <c r="D563" s="1" t="b">
        <v>1</v>
      </c>
      <c r="E563" t="s">
        <v>547</v>
      </c>
      <c r="F563" t="s">
        <v>531</v>
      </c>
      <c r="G563" t="s">
        <v>1</v>
      </c>
      <c r="H563" s="11">
        <v>150</v>
      </c>
      <c r="I563" s="18">
        <v>0.43869999999999998</v>
      </c>
      <c r="J563" s="18">
        <v>0.87090000000000001</v>
      </c>
      <c r="K563" s="18">
        <v>2.2199</v>
      </c>
      <c r="L563" s="18">
        <v>0.50949999999999995</v>
      </c>
    </row>
    <row r="564" spans="1:12">
      <c r="A564" t="s">
        <v>556</v>
      </c>
      <c r="B564">
        <v>0.3</v>
      </c>
      <c r="C564">
        <v>64</v>
      </c>
      <c r="D564" t="b">
        <v>0</v>
      </c>
      <c r="E564" t="s">
        <v>547</v>
      </c>
      <c r="F564" t="s">
        <v>531</v>
      </c>
      <c r="G564" t="s">
        <v>5</v>
      </c>
      <c r="H564">
        <v>34</v>
      </c>
      <c r="I564">
        <v>0.22209999999999999</v>
      </c>
      <c r="J564">
        <v>0.93910000000000005</v>
      </c>
      <c r="K564">
        <v>2.3071000000000002</v>
      </c>
      <c r="L564">
        <v>0.50949999999999995</v>
      </c>
    </row>
    <row r="565" spans="1:12">
      <c r="A565" t="s">
        <v>556</v>
      </c>
      <c r="B565">
        <v>0.3</v>
      </c>
      <c r="C565">
        <v>64</v>
      </c>
      <c r="D565" t="b">
        <v>0</v>
      </c>
      <c r="E565" t="s">
        <v>548</v>
      </c>
      <c r="F565" t="s">
        <v>531</v>
      </c>
      <c r="G565" t="s">
        <v>3</v>
      </c>
      <c r="H565">
        <v>35</v>
      </c>
      <c r="I565">
        <v>0.25119999999999998</v>
      </c>
      <c r="J565">
        <v>0.9284</v>
      </c>
      <c r="K565">
        <v>2.3551000000000002</v>
      </c>
      <c r="L565">
        <v>0.50949999999999995</v>
      </c>
    </row>
    <row r="566" spans="1:12">
      <c r="A566" t="s">
        <v>556</v>
      </c>
      <c r="B566">
        <v>0.1</v>
      </c>
      <c r="C566">
        <v>64</v>
      </c>
      <c r="D566" t="b">
        <v>0</v>
      </c>
      <c r="E566" t="s">
        <v>548</v>
      </c>
      <c r="F566" t="s">
        <v>531</v>
      </c>
      <c r="G566" t="s">
        <v>3</v>
      </c>
      <c r="H566">
        <v>30</v>
      </c>
      <c r="I566">
        <v>0.1701</v>
      </c>
      <c r="J566">
        <v>0.95240000000000002</v>
      </c>
      <c r="K566">
        <v>2.3706999999999998</v>
      </c>
      <c r="L566">
        <v>0.50949999999999995</v>
      </c>
    </row>
    <row r="567" spans="1:12">
      <c r="A567" t="s">
        <v>528</v>
      </c>
      <c r="B567">
        <v>0.1</v>
      </c>
      <c r="C567">
        <v>128</v>
      </c>
      <c r="D567" s="1" t="b">
        <v>0</v>
      </c>
      <c r="E567" t="s">
        <v>548</v>
      </c>
      <c r="F567" t="s">
        <v>531</v>
      </c>
      <c r="G567" t="s">
        <v>1</v>
      </c>
      <c r="H567" s="11">
        <v>74</v>
      </c>
      <c r="I567" s="18">
        <v>0.25919999999999999</v>
      </c>
      <c r="J567" s="18">
        <v>0.9325</v>
      </c>
      <c r="K567" s="18">
        <v>2.4001999999999999</v>
      </c>
      <c r="L567" s="18">
        <v>0.50949999999999995</v>
      </c>
    </row>
    <row r="568" spans="1:12">
      <c r="A568" t="s">
        <v>556</v>
      </c>
      <c r="B568">
        <v>0.1</v>
      </c>
      <c r="C568">
        <v>64</v>
      </c>
      <c r="D568" t="b">
        <v>0</v>
      </c>
      <c r="E568" t="s">
        <v>548</v>
      </c>
      <c r="F568" t="s">
        <v>531</v>
      </c>
      <c r="G568" t="s">
        <v>1</v>
      </c>
      <c r="H568">
        <v>30</v>
      </c>
      <c r="I568">
        <v>0.22639999999999999</v>
      </c>
      <c r="J568">
        <v>0.93589999999999995</v>
      </c>
      <c r="K568">
        <v>2.4148000000000001</v>
      </c>
      <c r="L568">
        <v>0.50949999999999995</v>
      </c>
    </row>
    <row r="569" spans="1:12">
      <c r="A569" t="s">
        <v>556</v>
      </c>
      <c r="B569">
        <v>0.1</v>
      </c>
      <c r="C569">
        <v>64</v>
      </c>
      <c r="D569" t="b">
        <v>0</v>
      </c>
      <c r="E569" t="s">
        <v>548</v>
      </c>
      <c r="F569" t="s">
        <v>531</v>
      </c>
      <c r="G569" t="s">
        <v>5</v>
      </c>
      <c r="H569">
        <v>30</v>
      </c>
      <c r="I569">
        <v>0.14480000000000001</v>
      </c>
      <c r="J569">
        <v>0.96099999999999997</v>
      </c>
      <c r="K569">
        <v>2.42</v>
      </c>
      <c r="L569">
        <v>0.50949999999999995</v>
      </c>
    </row>
    <row r="570" spans="1:12">
      <c r="A570" t="s">
        <v>556</v>
      </c>
      <c r="B570">
        <v>0.1</v>
      </c>
      <c r="C570">
        <v>128</v>
      </c>
      <c r="D570" t="b">
        <v>0</v>
      </c>
      <c r="E570" t="s">
        <v>548</v>
      </c>
      <c r="F570" t="s">
        <v>531</v>
      </c>
      <c r="G570" t="s">
        <v>0</v>
      </c>
      <c r="H570">
        <v>57</v>
      </c>
      <c r="I570">
        <v>0.24229999999999999</v>
      </c>
      <c r="J570">
        <v>0.92989999999999995</v>
      </c>
      <c r="K570">
        <v>2.2473999999999998</v>
      </c>
      <c r="L570">
        <v>0.50900000000000001</v>
      </c>
    </row>
    <row r="571" spans="1:12">
      <c r="A571" t="s">
        <v>528</v>
      </c>
      <c r="B571">
        <v>0.1</v>
      </c>
      <c r="C571">
        <v>128</v>
      </c>
      <c r="D571" s="1" t="b">
        <v>0</v>
      </c>
      <c r="E571" t="s">
        <v>548</v>
      </c>
      <c r="F571" t="s">
        <v>531</v>
      </c>
      <c r="G571" t="s">
        <v>0</v>
      </c>
      <c r="H571" s="11">
        <v>79</v>
      </c>
      <c r="I571" s="18">
        <v>0.29220000000000002</v>
      </c>
      <c r="J571" s="18">
        <v>0.92030000000000001</v>
      </c>
      <c r="K571" s="18">
        <v>2.2658</v>
      </c>
      <c r="L571" s="18">
        <v>0.50900000000000001</v>
      </c>
    </row>
    <row r="572" spans="1:12">
      <c r="A572" t="s">
        <v>528</v>
      </c>
      <c r="B572">
        <v>0.3</v>
      </c>
      <c r="C572">
        <v>128</v>
      </c>
      <c r="D572" s="1" t="b">
        <v>0</v>
      </c>
      <c r="E572" t="s">
        <v>548</v>
      </c>
      <c r="F572" t="s">
        <v>531</v>
      </c>
      <c r="G572" t="s">
        <v>5</v>
      </c>
      <c r="H572" s="11">
        <v>74</v>
      </c>
      <c r="I572" s="18">
        <v>0.2331</v>
      </c>
      <c r="J572" s="18">
        <v>0.93540000000000001</v>
      </c>
      <c r="K572" s="18">
        <v>2.2743000000000002</v>
      </c>
      <c r="L572" s="18">
        <v>0.50900000000000001</v>
      </c>
    </row>
    <row r="573" spans="1:12">
      <c r="A573" t="s">
        <v>556</v>
      </c>
      <c r="B573">
        <v>0.3</v>
      </c>
      <c r="C573">
        <v>64</v>
      </c>
      <c r="D573" t="b">
        <v>0</v>
      </c>
      <c r="E573" t="s">
        <v>548</v>
      </c>
      <c r="F573" t="s">
        <v>531</v>
      </c>
      <c r="G573" t="s">
        <v>2</v>
      </c>
      <c r="H573">
        <v>34</v>
      </c>
      <c r="I573">
        <v>0.29139999999999999</v>
      </c>
      <c r="J573">
        <v>0.91490000000000005</v>
      </c>
      <c r="K573">
        <v>2.2854999999999999</v>
      </c>
      <c r="L573">
        <v>0.50900000000000001</v>
      </c>
    </row>
    <row r="574" spans="1:12">
      <c r="A574" t="s">
        <v>528</v>
      </c>
      <c r="B574">
        <v>0.5</v>
      </c>
      <c r="C574">
        <v>128</v>
      </c>
      <c r="D574" s="1" t="b">
        <v>1</v>
      </c>
      <c r="E574" t="s">
        <v>547</v>
      </c>
      <c r="F574" t="s">
        <v>532</v>
      </c>
      <c r="G574" t="s">
        <v>0</v>
      </c>
      <c r="H574" s="11">
        <v>141</v>
      </c>
      <c r="I574" s="18">
        <v>1.4160999999999999</v>
      </c>
      <c r="J574" s="18">
        <v>0.57169999999999999</v>
      </c>
      <c r="K574" s="18">
        <v>1.7901</v>
      </c>
      <c r="L574" s="18">
        <v>0.50849999999999995</v>
      </c>
    </row>
    <row r="575" spans="1:12">
      <c r="A575" t="s">
        <v>528</v>
      </c>
      <c r="B575">
        <v>0.5</v>
      </c>
      <c r="C575">
        <v>64</v>
      </c>
      <c r="D575" s="1" t="b">
        <v>1</v>
      </c>
      <c r="E575" t="s">
        <v>547</v>
      </c>
      <c r="F575" t="s">
        <v>532</v>
      </c>
      <c r="G575" t="s">
        <v>2</v>
      </c>
      <c r="H575" s="11">
        <v>73</v>
      </c>
      <c r="I575" s="18">
        <v>1.4428000000000001</v>
      </c>
      <c r="J575" s="18">
        <v>0.56999999999999995</v>
      </c>
      <c r="K575" s="18">
        <v>1.8110999999999999</v>
      </c>
      <c r="L575" s="18">
        <v>0.50849999999999995</v>
      </c>
    </row>
    <row r="576" spans="1:12">
      <c r="A576" t="s">
        <v>528</v>
      </c>
      <c r="B576">
        <v>0.3</v>
      </c>
      <c r="C576">
        <v>64</v>
      </c>
      <c r="D576" s="1" t="b">
        <v>1</v>
      </c>
      <c r="E576" t="s">
        <v>547</v>
      </c>
      <c r="F576" t="s">
        <v>531</v>
      </c>
      <c r="G576" t="s">
        <v>0</v>
      </c>
      <c r="H576" s="11">
        <v>69</v>
      </c>
      <c r="I576" s="18">
        <v>0.72709999999999997</v>
      </c>
      <c r="J576" s="18">
        <v>0.78310000000000002</v>
      </c>
      <c r="K576" s="18">
        <v>1.9955000000000001</v>
      </c>
      <c r="L576" s="18">
        <v>0.50849999999999995</v>
      </c>
    </row>
    <row r="577" spans="1:12">
      <c r="A577" t="s">
        <v>528</v>
      </c>
      <c r="B577">
        <v>0.3</v>
      </c>
      <c r="C577">
        <v>256</v>
      </c>
      <c r="D577" s="1" t="b">
        <v>1</v>
      </c>
      <c r="E577" t="s">
        <v>547</v>
      </c>
      <c r="F577" t="s">
        <v>531</v>
      </c>
      <c r="G577" t="s">
        <v>2</v>
      </c>
      <c r="H577" s="11">
        <v>285</v>
      </c>
      <c r="I577" s="18">
        <v>0.48449999999999999</v>
      </c>
      <c r="J577" s="18">
        <v>0.85640000000000005</v>
      </c>
      <c r="K577" s="18">
        <v>2.1589</v>
      </c>
      <c r="L577" s="18">
        <v>0.50849999999999995</v>
      </c>
    </row>
    <row r="578" spans="1:12">
      <c r="A578" t="s">
        <v>528</v>
      </c>
      <c r="B578">
        <v>0.3</v>
      </c>
      <c r="C578">
        <v>256</v>
      </c>
      <c r="D578" s="1" t="b">
        <v>1</v>
      </c>
      <c r="E578" t="s">
        <v>548</v>
      </c>
      <c r="F578" t="s">
        <v>532</v>
      </c>
      <c r="G578" t="s">
        <v>0</v>
      </c>
      <c r="H578" s="11">
        <v>286</v>
      </c>
      <c r="I578" s="18">
        <v>1.0387999999999999</v>
      </c>
      <c r="J578" s="18">
        <v>0.68959999999999999</v>
      </c>
      <c r="K578" s="18">
        <v>1.8593999999999999</v>
      </c>
      <c r="L578" s="18">
        <v>0.50800000000000001</v>
      </c>
    </row>
    <row r="579" spans="1:12">
      <c r="A579" t="s">
        <v>528</v>
      </c>
      <c r="B579">
        <v>0.5</v>
      </c>
      <c r="C579">
        <v>256</v>
      </c>
      <c r="D579" s="1" t="b">
        <v>1</v>
      </c>
      <c r="E579" t="s">
        <v>547</v>
      </c>
      <c r="F579" t="s">
        <v>531</v>
      </c>
      <c r="G579" t="s">
        <v>1</v>
      </c>
      <c r="H579" s="11">
        <v>291</v>
      </c>
      <c r="I579" s="18">
        <v>0.68669999999999998</v>
      </c>
      <c r="J579" s="18">
        <v>0.7954</v>
      </c>
      <c r="K579" s="18">
        <v>1.8613999999999999</v>
      </c>
      <c r="L579" s="18">
        <v>0.50800000000000001</v>
      </c>
    </row>
    <row r="580" spans="1:12">
      <c r="A580" t="s">
        <v>528</v>
      </c>
      <c r="B580">
        <v>0.5</v>
      </c>
      <c r="C580">
        <v>256</v>
      </c>
      <c r="D580" s="1" t="b">
        <v>1</v>
      </c>
      <c r="E580" t="s">
        <v>548</v>
      </c>
      <c r="F580" t="s">
        <v>531</v>
      </c>
      <c r="G580" t="s">
        <v>0</v>
      </c>
      <c r="H580" s="11">
        <v>277</v>
      </c>
      <c r="I580" s="18">
        <v>0.63790000000000002</v>
      </c>
      <c r="J580" s="18">
        <v>0.81389999999999996</v>
      </c>
      <c r="K580" s="18">
        <v>1.9033</v>
      </c>
      <c r="L580" s="18">
        <v>0.50800000000000001</v>
      </c>
    </row>
    <row r="581" spans="1:12">
      <c r="A581" t="s">
        <v>528</v>
      </c>
      <c r="B581">
        <v>0.5</v>
      </c>
      <c r="C581">
        <v>64</v>
      </c>
      <c r="D581" s="1" t="b">
        <v>1</v>
      </c>
      <c r="E581" t="s">
        <v>548</v>
      </c>
      <c r="F581" t="s">
        <v>531</v>
      </c>
      <c r="G581" t="s">
        <v>0</v>
      </c>
      <c r="H581" s="11">
        <v>67</v>
      </c>
      <c r="I581" s="18">
        <v>0.79420000000000002</v>
      </c>
      <c r="J581" s="18">
        <v>0.76200000000000001</v>
      </c>
      <c r="K581" s="18">
        <v>1.9160999999999999</v>
      </c>
      <c r="L581" s="18">
        <v>0.50800000000000001</v>
      </c>
    </row>
    <row r="582" spans="1:12">
      <c r="A582" t="s">
        <v>528</v>
      </c>
      <c r="B582">
        <v>0.3</v>
      </c>
      <c r="C582">
        <v>128</v>
      </c>
      <c r="D582" s="1" t="b">
        <v>1</v>
      </c>
      <c r="E582" t="s">
        <v>547</v>
      </c>
      <c r="F582" t="s">
        <v>531</v>
      </c>
      <c r="G582" t="s">
        <v>2</v>
      </c>
      <c r="H582" s="11">
        <v>139</v>
      </c>
      <c r="I582" s="18">
        <v>0.50800000000000001</v>
      </c>
      <c r="J582" s="18">
        <v>0.85309999999999997</v>
      </c>
      <c r="K582" s="18">
        <v>2.1827000000000001</v>
      </c>
      <c r="L582" s="18">
        <v>0.50800000000000001</v>
      </c>
    </row>
    <row r="583" spans="1:12">
      <c r="A583" t="s">
        <v>556</v>
      </c>
      <c r="B583">
        <v>0.3</v>
      </c>
      <c r="C583">
        <v>128</v>
      </c>
      <c r="D583" t="b">
        <v>0</v>
      </c>
      <c r="E583" t="s">
        <v>548</v>
      </c>
      <c r="F583" t="s">
        <v>531</v>
      </c>
      <c r="G583" t="s">
        <v>0</v>
      </c>
      <c r="H583">
        <v>59</v>
      </c>
      <c r="I583">
        <v>0.28910000000000002</v>
      </c>
      <c r="J583">
        <v>0.91520000000000001</v>
      </c>
      <c r="K583">
        <v>2.1934</v>
      </c>
      <c r="L583">
        <v>0.50800000000000001</v>
      </c>
    </row>
    <row r="584" spans="1:12">
      <c r="A584" t="s">
        <v>528</v>
      </c>
      <c r="B584">
        <v>0.1</v>
      </c>
      <c r="C584">
        <v>64</v>
      </c>
      <c r="D584" s="1" t="b">
        <v>1</v>
      </c>
      <c r="E584" t="s">
        <v>547</v>
      </c>
      <c r="F584" t="s">
        <v>531</v>
      </c>
      <c r="G584" t="s">
        <v>3</v>
      </c>
      <c r="H584" s="11">
        <v>79</v>
      </c>
      <c r="I584" s="18">
        <v>0.39979999999999999</v>
      </c>
      <c r="J584" s="18">
        <v>0.88200000000000001</v>
      </c>
      <c r="K584" s="18">
        <v>2.3546</v>
      </c>
      <c r="L584" s="18">
        <v>0.50800000000000001</v>
      </c>
    </row>
    <row r="585" spans="1:12">
      <c r="A585" t="s">
        <v>556</v>
      </c>
      <c r="B585">
        <v>0.1</v>
      </c>
      <c r="C585">
        <v>64</v>
      </c>
      <c r="D585" t="b">
        <v>0</v>
      </c>
      <c r="E585" t="s">
        <v>547</v>
      </c>
      <c r="F585" t="s">
        <v>531</v>
      </c>
      <c r="G585" t="s">
        <v>0</v>
      </c>
      <c r="H585">
        <v>37</v>
      </c>
      <c r="I585">
        <v>0.33350000000000002</v>
      </c>
      <c r="J585">
        <v>0.90849999999999997</v>
      </c>
      <c r="K585">
        <v>2.1854</v>
      </c>
      <c r="L585">
        <v>0.50749999999999995</v>
      </c>
    </row>
    <row r="586" spans="1:12">
      <c r="A586" t="s">
        <v>528</v>
      </c>
      <c r="B586">
        <v>0.3</v>
      </c>
      <c r="C586">
        <v>256</v>
      </c>
      <c r="D586" s="1" t="b">
        <v>0</v>
      </c>
      <c r="E586" t="s">
        <v>548</v>
      </c>
      <c r="F586" t="s">
        <v>531</v>
      </c>
      <c r="G586" t="s">
        <v>4</v>
      </c>
      <c r="H586" s="11">
        <v>142</v>
      </c>
      <c r="I586" s="18">
        <v>0.25359999999999999</v>
      </c>
      <c r="J586" s="18">
        <v>0.92490000000000006</v>
      </c>
      <c r="K586" s="18">
        <v>2.2517999999999998</v>
      </c>
      <c r="L586" s="18">
        <v>0.50749999999999995</v>
      </c>
    </row>
    <row r="587" spans="1:12">
      <c r="A587" t="s">
        <v>528</v>
      </c>
      <c r="B587">
        <v>0.5</v>
      </c>
      <c r="C587">
        <v>128</v>
      </c>
      <c r="D587" s="1" t="b">
        <v>1</v>
      </c>
      <c r="E587" t="s">
        <v>547</v>
      </c>
      <c r="F587" t="s">
        <v>531</v>
      </c>
      <c r="G587" t="s">
        <v>4</v>
      </c>
      <c r="H587" s="11">
        <v>139</v>
      </c>
      <c r="I587" s="18">
        <v>0.59719999999999995</v>
      </c>
      <c r="J587" s="18">
        <v>0.82289999999999996</v>
      </c>
      <c r="K587" s="18">
        <v>2.0789</v>
      </c>
      <c r="L587" s="18">
        <v>0.50700000000000001</v>
      </c>
    </row>
    <row r="588" spans="1:12">
      <c r="A588" t="s">
        <v>528</v>
      </c>
      <c r="B588">
        <v>0.1</v>
      </c>
      <c r="C588">
        <v>64</v>
      </c>
      <c r="D588" s="1" t="b">
        <v>0</v>
      </c>
      <c r="E588" t="s">
        <v>548</v>
      </c>
      <c r="F588" t="s">
        <v>531</v>
      </c>
      <c r="G588" t="s">
        <v>5</v>
      </c>
      <c r="H588" s="11">
        <v>49</v>
      </c>
      <c r="I588" s="18">
        <v>0.18909999999999999</v>
      </c>
      <c r="J588" s="18">
        <v>0.95</v>
      </c>
      <c r="K588" s="18">
        <v>2.6053000000000002</v>
      </c>
      <c r="L588" s="18">
        <v>0.50700000000000001</v>
      </c>
    </row>
    <row r="589" spans="1:12">
      <c r="A589" t="s">
        <v>528</v>
      </c>
      <c r="B589">
        <v>0.1</v>
      </c>
      <c r="C589">
        <v>64</v>
      </c>
      <c r="D589" s="1" t="b">
        <v>0</v>
      </c>
      <c r="E589" t="s">
        <v>547</v>
      </c>
      <c r="F589" t="s">
        <v>532</v>
      </c>
      <c r="G589" t="s">
        <v>0</v>
      </c>
      <c r="H589" s="11">
        <v>41</v>
      </c>
      <c r="I589" s="18">
        <v>1.3443000000000001</v>
      </c>
      <c r="J589" s="18">
        <v>0.60140000000000005</v>
      </c>
      <c r="K589" s="18">
        <v>1.8832</v>
      </c>
      <c r="L589" s="18">
        <v>0.50649999999999995</v>
      </c>
    </row>
    <row r="590" spans="1:12">
      <c r="A590" t="s">
        <v>528</v>
      </c>
      <c r="B590">
        <v>0.1</v>
      </c>
      <c r="C590">
        <v>64</v>
      </c>
      <c r="D590" s="1" t="b">
        <v>1</v>
      </c>
      <c r="E590" t="s">
        <v>548</v>
      </c>
      <c r="F590" t="s">
        <v>532</v>
      </c>
      <c r="G590" t="s">
        <v>4</v>
      </c>
      <c r="H590" s="11">
        <v>73</v>
      </c>
      <c r="I590" s="18">
        <v>0.64370000000000005</v>
      </c>
      <c r="J590" s="18">
        <v>0.81240000000000001</v>
      </c>
      <c r="K590" s="18">
        <v>1.9019999999999999</v>
      </c>
      <c r="L590" s="18">
        <v>0.50649999999999995</v>
      </c>
    </row>
    <row r="591" spans="1:12">
      <c r="A591" t="s">
        <v>528</v>
      </c>
      <c r="B591">
        <v>0.5</v>
      </c>
      <c r="C591">
        <v>128</v>
      </c>
      <c r="D591" s="1" t="b">
        <v>1</v>
      </c>
      <c r="E591" t="s">
        <v>548</v>
      </c>
      <c r="F591" t="s">
        <v>531</v>
      </c>
      <c r="G591" t="s">
        <v>5</v>
      </c>
      <c r="H591" s="11">
        <v>137</v>
      </c>
      <c r="I591" s="18">
        <v>0.41539999999999999</v>
      </c>
      <c r="J591" s="18">
        <v>0.87519999999999998</v>
      </c>
      <c r="K591" s="18">
        <v>2.1217999999999999</v>
      </c>
      <c r="L591" s="18">
        <v>0.50649999999999995</v>
      </c>
    </row>
    <row r="592" spans="1:12">
      <c r="A592" t="s">
        <v>528</v>
      </c>
      <c r="B592">
        <v>0.1</v>
      </c>
      <c r="C592">
        <v>256</v>
      </c>
      <c r="D592" s="1" t="b">
        <v>1</v>
      </c>
      <c r="E592" t="s">
        <v>548</v>
      </c>
      <c r="F592" t="s">
        <v>531</v>
      </c>
      <c r="G592" t="s">
        <v>1</v>
      </c>
      <c r="H592" s="11">
        <v>277</v>
      </c>
      <c r="I592" s="18">
        <v>0.31230000000000002</v>
      </c>
      <c r="J592" s="18">
        <v>0.9083</v>
      </c>
      <c r="K592" s="18">
        <v>2.1970999999999998</v>
      </c>
      <c r="L592" s="18">
        <v>0.50649999999999995</v>
      </c>
    </row>
    <row r="593" spans="1:12">
      <c r="A593" t="s">
        <v>556</v>
      </c>
      <c r="B593">
        <v>0.1</v>
      </c>
      <c r="C593">
        <v>64</v>
      </c>
      <c r="D593" t="b">
        <v>0</v>
      </c>
      <c r="E593" t="s">
        <v>547</v>
      </c>
      <c r="F593" t="s">
        <v>531</v>
      </c>
      <c r="G593" t="s">
        <v>1</v>
      </c>
      <c r="H593">
        <v>37</v>
      </c>
      <c r="I593">
        <v>0.29220000000000002</v>
      </c>
      <c r="J593">
        <v>0.91679999999999995</v>
      </c>
      <c r="K593">
        <v>2.2437999999999998</v>
      </c>
      <c r="L593">
        <v>0.50600000000000001</v>
      </c>
    </row>
    <row r="594" spans="1:12">
      <c r="A594" t="s">
        <v>528</v>
      </c>
      <c r="B594">
        <v>0.1</v>
      </c>
      <c r="C594">
        <v>64</v>
      </c>
      <c r="D594" s="1" t="b">
        <v>1</v>
      </c>
      <c r="E594" t="s">
        <v>547</v>
      </c>
      <c r="F594" t="s">
        <v>531</v>
      </c>
      <c r="G594" t="s">
        <v>1</v>
      </c>
      <c r="H594" s="11">
        <v>68</v>
      </c>
      <c r="I594" s="18">
        <v>0.48699999999999999</v>
      </c>
      <c r="J594" s="18">
        <v>0.85860000000000003</v>
      </c>
      <c r="K594" s="18">
        <v>2.2917999999999998</v>
      </c>
      <c r="L594" s="18">
        <v>0.50600000000000001</v>
      </c>
    </row>
    <row r="595" spans="1:12">
      <c r="A595" t="s">
        <v>528</v>
      </c>
      <c r="B595">
        <v>0.1</v>
      </c>
      <c r="C595">
        <v>64</v>
      </c>
      <c r="D595" s="1" t="b">
        <v>1</v>
      </c>
      <c r="E595" t="s">
        <v>547</v>
      </c>
      <c r="F595" t="s">
        <v>531</v>
      </c>
      <c r="G595" t="s">
        <v>4</v>
      </c>
      <c r="H595" s="11">
        <v>79</v>
      </c>
      <c r="I595" s="18">
        <v>0.3589</v>
      </c>
      <c r="J595" s="18">
        <v>0.89590000000000003</v>
      </c>
      <c r="K595" s="18">
        <v>2.4540000000000002</v>
      </c>
      <c r="L595" s="18">
        <v>0.50600000000000001</v>
      </c>
    </row>
    <row r="596" spans="1:12">
      <c r="A596" t="s">
        <v>528</v>
      </c>
      <c r="B596">
        <v>0.5</v>
      </c>
      <c r="C596">
        <v>256</v>
      </c>
      <c r="D596" s="1" t="b">
        <v>1</v>
      </c>
      <c r="E596" t="s">
        <v>548</v>
      </c>
      <c r="F596" t="s">
        <v>531</v>
      </c>
      <c r="G596" t="s">
        <v>5</v>
      </c>
      <c r="H596" s="11">
        <v>279</v>
      </c>
      <c r="I596" s="18">
        <v>0.39219999999999999</v>
      </c>
      <c r="J596" s="18">
        <v>0.88260000000000005</v>
      </c>
      <c r="K596" s="18">
        <v>2.0291000000000001</v>
      </c>
      <c r="L596" s="18">
        <v>0.50549999999999995</v>
      </c>
    </row>
    <row r="597" spans="1:12">
      <c r="A597" t="s">
        <v>556</v>
      </c>
      <c r="B597">
        <v>0.5</v>
      </c>
      <c r="C597">
        <v>64</v>
      </c>
      <c r="D597" t="b">
        <v>0</v>
      </c>
      <c r="E597" t="s">
        <v>548</v>
      </c>
      <c r="F597" t="s">
        <v>531</v>
      </c>
      <c r="G597" t="s">
        <v>2</v>
      </c>
      <c r="H597">
        <v>37</v>
      </c>
      <c r="I597">
        <v>0.38030000000000003</v>
      </c>
      <c r="J597">
        <v>0.8861</v>
      </c>
      <c r="K597">
        <v>2.1419000000000001</v>
      </c>
      <c r="L597">
        <v>0.50549999999999995</v>
      </c>
    </row>
    <row r="598" spans="1:12">
      <c r="A598" t="s">
        <v>528</v>
      </c>
      <c r="B598">
        <v>0.1</v>
      </c>
      <c r="C598">
        <v>256</v>
      </c>
      <c r="D598" s="1" t="b">
        <v>0</v>
      </c>
      <c r="E598" t="s">
        <v>548</v>
      </c>
      <c r="F598" t="s">
        <v>531</v>
      </c>
      <c r="G598" t="s">
        <v>0</v>
      </c>
      <c r="H598" s="11">
        <v>138</v>
      </c>
      <c r="I598" s="18">
        <v>0.31109999999999999</v>
      </c>
      <c r="J598" s="18">
        <v>0.91049999999999998</v>
      </c>
      <c r="K598" s="18">
        <v>2.3136000000000001</v>
      </c>
      <c r="L598" s="18">
        <v>0.50549999999999995</v>
      </c>
    </row>
    <row r="599" spans="1:12">
      <c r="A599" t="s">
        <v>528</v>
      </c>
      <c r="B599">
        <v>0.1</v>
      </c>
      <c r="C599">
        <v>256</v>
      </c>
      <c r="D599" s="1" t="b">
        <v>1</v>
      </c>
      <c r="E599" t="s">
        <v>548</v>
      </c>
      <c r="F599" t="s">
        <v>531</v>
      </c>
      <c r="G599" t="s">
        <v>3</v>
      </c>
      <c r="H599" s="11">
        <v>278</v>
      </c>
      <c r="I599" s="18">
        <v>0.2437</v>
      </c>
      <c r="J599" s="18">
        <v>0.93010000000000004</v>
      </c>
      <c r="K599" s="18">
        <v>2.3169</v>
      </c>
      <c r="L599" s="18">
        <v>0.50549999999999995</v>
      </c>
    </row>
    <row r="600" spans="1:12">
      <c r="A600" t="s">
        <v>528</v>
      </c>
      <c r="B600">
        <v>0.3</v>
      </c>
      <c r="C600">
        <v>64</v>
      </c>
      <c r="D600" s="1" t="b">
        <v>0</v>
      </c>
      <c r="E600" t="s">
        <v>547</v>
      </c>
      <c r="F600" t="s">
        <v>532</v>
      </c>
      <c r="G600" t="s">
        <v>0</v>
      </c>
      <c r="H600" s="11">
        <v>41</v>
      </c>
      <c r="I600" s="18">
        <v>1.5034000000000001</v>
      </c>
      <c r="J600" s="18">
        <v>0.53610000000000002</v>
      </c>
      <c r="K600" s="18">
        <v>1.8984000000000001</v>
      </c>
      <c r="L600" s="18">
        <v>0.505</v>
      </c>
    </row>
    <row r="601" spans="1:12">
      <c r="A601" t="s">
        <v>528</v>
      </c>
      <c r="B601">
        <v>0.1</v>
      </c>
      <c r="C601">
        <v>256</v>
      </c>
      <c r="D601" s="1" t="b">
        <v>0</v>
      </c>
      <c r="E601" t="s">
        <v>548</v>
      </c>
      <c r="F601" t="s">
        <v>531</v>
      </c>
      <c r="G601" t="s">
        <v>2</v>
      </c>
      <c r="H601" s="11">
        <v>137</v>
      </c>
      <c r="I601" s="18">
        <v>0.23250000000000001</v>
      </c>
      <c r="J601" s="18">
        <v>0.93310000000000004</v>
      </c>
      <c r="K601" s="18">
        <v>2.3315999999999999</v>
      </c>
      <c r="L601" s="18">
        <v>0.505</v>
      </c>
    </row>
    <row r="602" spans="1:12">
      <c r="A602" t="s">
        <v>528</v>
      </c>
      <c r="B602">
        <v>0.1</v>
      </c>
      <c r="C602">
        <v>128</v>
      </c>
      <c r="D602" s="1" t="b">
        <v>0</v>
      </c>
      <c r="E602" t="s">
        <v>548</v>
      </c>
      <c r="F602" t="s">
        <v>531</v>
      </c>
      <c r="G602" t="s">
        <v>5</v>
      </c>
      <c r="H602" s="11">
        <v>74</v>
      </c>
      <c r="I602" s="18">
        <v>0.17710000000000001</v>
      </c>
      <c r="J602" s="18">
        <v>0.95199999999999996</v>
      </c>
      <c r="K602" s="18">
        <v>2.4777</v>
      </c>
      <c r="L602" s="18">
        <v>0.505</v>
      </c>
    </row>
    <row r="603" spans="1:12">
      <c r="A603" t="s">
        <v>528</v>
      </c>
      <c r="B603">
        <v>0.3</v>
      </c>
      <c r="C603">
        <v>64</v>
      </c>
      <c r="D603" s="1" t="b">
        <v>1</v>
      </c>
      <c r="E603" t="s">
        <v>547</v>
      </c>
      <c r="F603" t="s">
        <v>531</v>
      </c>
      <c r="G603" t="s">
        <v>2</v>
      </c>
      <c r="H603" s="11">
        <v>68</v>
      </c>
      <c r="I603" s="18">
        <v>0.59670000000000001</v>
      </c>
      <c r="J603" s="18">
        <v>0.82489999999999997</v>
      </c>
      <c r="K603" s="18">
        <v>2.1360999999999999</v>
      </c>
      <c r="L603" s="18">
        <v>0.50449999999999995</v>
      </c>
    </row>
    <row r="604" spans="1:12">
      <c r="A604" t="s">
        <v>528</v>
      </c>
      <c r="B604">
        <v>0.5</v>
      </c>
      <c r="C604">
        <v>64</v>
      </c>
      <c r="D604" s="1" t="b">
        <v>0</v>
      </c>
      <c r="E604" t="s">
        <v>547</v>
      </c>
      <c r="F604" t="s">
        <v>532</v>
      </c>
      <c r="G604" t="s">
        <v>2</v>
      </c>
      <c r="H604" s="11">
        <v>42</v>
      </c>
      <c r="I604" s="18">
        <v>1.4298</v>
      </c>
      <c r="J604" s="18">
        <v>0.56469999999999998</v>
      </c>
      <c r="K604" s="18">
        <v>1.825</v>
      </c>
      <c r="L604" s="18">
        <v>0.504</v>
      </c>
    </row>
    <row r="605" spans="1:12">
      <c r="A605" t="s">
        <v>528</v>
      </c>
      <c r="B605">
        <v>0.1</v>
      </c>
      <c r="C605">
        <v>128</v>
      </c>
      <c r="D605" s="1" t="b">
        <v>1</v>
      </c>
      <c r="E605" t="s">
        <v>548</v>
      </c>
      <c r="F605" t="s">
        <v>531</v>
      </c>
      <c r="G605" t="s">
        <v>4</v>
      </c>
      <c r="H605" s="11">
        <v>136</v>
      </c>
      <c r="I605" s="18">
        <v>0.23710000000000001</v>
      </c>
      <c r="J605" s="18">
        <v>0.93240000000000001</v>
      </c>
      <c r="K605" s="18">
        <v>2.4483999999999999</v>
      </c>
      <c r="L605" s="18">
        <v>0.504</v>
      </c>
    </row>
    <row r="606" spans="1:12">
      <c r="A606" t="s">
        <v>528</v>
      </c>
      <c r="B606">
        <v>0.5</v>
      </c>
      <c r="C606">
        <v>64</v>
      </c>
      <c r="D606" s="1" t="b">
        <v>1</v>
      </c>
      <c r="E606" t="s">
        <v>547</v>
      </c>
      <c r="F606" t="s">
        <v>532</v>
      </c>
      <c r="G606" t="s">
        <v>4</v>
      </c>
      <c r="H606" s="11">
        <v>73</v>
      </c>
      <c r="I606" s="18">
        <v>1.3363</v>
      </c>
      <c r="J606" s="18">
        <v>0.60440000000000005</v>
      </c>
      <c r="K606" s="18">
        <v>1.8271999999999999</v>
      </c>
      <c r="L606" s="18">
        <v>0.50349999999999995</v>
      </c>
    </row>
    <row r="607" spans="1:12">
      <c r="A607" t="s">
        <v>528</v>
      </c>
      <c r="B607">
        <v>0.1</v>
      </c>
      <c r="C607">
        <v>256</v>
      </c>
      <c r="D607" s="1" t="b">
        <v>1</v>
      </c>
      <c r="E607" t="s">
        <v>547</v>
      </c>
      <c r="F607" t="s">
        <v>531</v>
      </c>
      <c r="G607" t="s">
        <v>0</v>
      </c>
      <c r="H607" s="11">
        <v>287</v>
      </c>
      <c r="I607" s="18">
        <v>0.51849999999999996</v>
      </c>
      <c r="J607" s="18">
        <v>0.85</v>
      </c>
      <c r="K607" s="18">
        <v>2.0304000000000002</v>
      </c>
      <c r="L607" s="18">
        <v>0.50349999999999995</v>
      </c>
    </row>
    <row r="608" spans="1:12">
      <c r="A608" t="s">
        <v>528</v>
      </c>
      <c r="B608">
        <v>0.1</v>
      </c>
      <c r="C608">
        <v>64</v>
      </c>
      <c r="D608" s="1" t="b">
        <v>1</v>
      </c>
      <c r="E608" t="s">
        <v>547</v>
      </c>
      <c r="F608" t="s">
        <v>531</v>
      </c>
      <c r="G608" t="s">
        <v>0</v>
      </c>
      <c r="H608" s="11">
        <v>68</v>
      </c>
      <c r="I608" s="18">
        <v>0.55549999999999999</v>
      </c>
      <c r="J608" s="18">
        <v>0.83819999999999995</v>
      </c>
      <c r="K608" s="18">
        <v>2.2050000000000001</v>
      </c>
      <c r="L608" s="18">
        <v>0.50349999999999995</v>
      </c>
    </row>
    <row r="609" spans="1:12">
      <c r="A609" t="s">
        <v>556</v>
      </c>
      <c r="B609">
        <v>0.1</v>
      </c>
      <c r="C609">
        <v>128</v>
      </c>
      <c r="D609" t="b">
        <v>0</v>
      </c>
      <c r="E609" t="s">
        <v>548</v>
      </c>
      <c r="F609" t="s">
        <v>531</v>
      </c>
      <c r="G609" t="s">
        <v>4</v>
      </c>
      <c r="H609">
        <v>63</v>
      </c>
      <c r="I609">
        <v>0.15049999999999999</v>
      </c>
      <c r="J609">
        <v>0.95540000000000003</v>
      </c>
      <c r="K609">
        <v>2.3990999999999998</v>
      </c>
      <c r="L609">
        <v>0.50349999999999995</v>
      </c>
    </row>
    <row r="610" spans="1:12">
      <c r="A610" t="s">
        <v>556</v>
      </c>
      <c r="B610">
        <v>0.3</v>
      </c>
      <c r="C610">
        <v>64</v>
      </c>
      <c r="D610" t="b">
        <v>0</v>
      </c>
      <c r="E610" t="s">
        <v>548</v>
      </c>
      <c r="F610" t="s">
        <v>531</v>
      </c>
      <c r="G610" t="s">
        <v>5</v>
      </c>
      <c r="H610">
        <v>36</v>
      </c>
      <c r="I610">
        <v>0.22189999999999999</v>
      </c>
      <c r="J610">
        <v>0.93859999999999999</v>
      </c>
      <c r="K610">
        <v>2.3974000000000002</v>
      </c>
      <c r="L610">
        <v>0.503</v>
      </c>
    </row>
    <row r="611" spans="1:12">
      <c r="A611" t="s">
        <v>528</v>
      </c>
      <c r="B611">
        <v>0.5</v>
      </c>
      <c r="C611">
        <v>64</v>
      </c>
      <c r="D611" s="1" t="b">
        <v>1</v>
      </c>
      <c r="E611" t="s">
        <v>548</v>
      </c>
      <c r="F611" t="s">
        <v>531</v>
      </c>
      <c r="G611" t="s">
        <v>5</v>
      </c>
      <c r="H611" s="11">
        <v>67</v>
      </c>
      <c r="I611" s="18">
        <v>0.505</v>
      </c>
      <c r="J611" s="18">
        <v>0.85350000000000004</v>
      </c>
      <c r="K611" s="18">
        <v>2.1513</v>
      </c>
      <c r="L611" s="18">
        <v>0.50249999999999995</v>
      </c>
    </row>
    <row r="612" spans="1:12">
      <c r="A612" t="s">
        <v>528</v>
      </c>
      <c r="B612">
        <v>0.3</v>
      </c>
      <c r="C612">
        <v>64</v>
      </c>
      <c r="D612" s="1" t="b">
        <v>1</v>
      </c>
      <c r="E612" t="s">
        <v>547</v>
      </c>
      <c r="F612" t="s">
        <v>531</v>
      </c>
      <c r="G612" t="s">
        <v>3</v>
      </c>
      <c r="H612" s="11">
        <v>68</v>
      </c>
      <c r="I612" s="18">
        <v>0.54659999999999997</v>
      </c>
      <c r="J612" s="18">
        <v>0.83899999999999997</v>
      </c>
      <c r="K612" s="18">
        <v>2.1562000000000001</v>
      </c>
      <c r="L612" s="18">
        <v>0.50249999999999995</v>
      </c>
    </row>
    <row r="613" spans="1:12">
      <c r="A613" t="s">
        <v>528</v>
      </c>
      <c r="B613">
        <v>0.3</v>
      </c>
      <c r="C613">
        <v>256</v>
      </c>
      <c r="D613" s="1" t="b">
        <v>1</v>
      </c>
      <c r="E613" t="s">
        <v>547</v>
      </c>
      <c r="F613" t="s">
        <v>531</v>
      </c>
      <c r="G613" t="s">
        <v>3</v>
      </c>
      <c r="H613" s="11">
        <v>286</v>
      </c>
      <c r="I613" s="18">
        <v>0.4496</v>
      </c>
      <c r="J613" s="18">
        <v>0.86360000000000003</v>
      </c>
      <c r="K613" s="18">
        <v>2.1488</v>
      </c>
      <c r="L613" s="18">
        <v>0.502</v>
      </c>
    </row>
    <row r="614" spans="1:12">
      <c r="A614" t="s">
        <v>528</v>
      </c>
      <c r="B614">
        <v>0.3</v>
      </c>
      <c r="C614">
        <v>128</v>
      </c>
      <c r="D614" s="1" t="b">
        <v>1</v>
      </c>
      <c r="E614" t="s">
        <v>548</v>
      </c>
      <c r="F614" t="s">
        <v>531</v>
      </c>
      <c r="G614" t="s">
        <v>3</v>
      </c>
      <c r="H614" s="11">
        <v>137</v>
      </c>
      <c r="I614" s="18">
        <v>0.32119999999999999</v>
      </c>
      <c r="J614" s="18">
        <v>0.90620000000000001</v>
      </c>
      <c r="K614" s="18">
        <v>2.2566999999999999</v>
      </c>
      <c r="L614" s="18">
        <v>0.502</v>
      </c>
    </row>
    <row r="615" spans="1:12">
      <c r="A615" t="s">
        <v>528</v>
      </c>
      <c r="B615">
        <v>0.1</v>
      </c>
      <c r="C615">
        <v>64</v>
      </c>
      <c r="D615" s="1" t="b">
        <v>1</v>
      </c>
      <c r="E615" t="s">
        <v>547</v>
      </c>
      <c r="F615" t="s">
        <v>531</v>
      </c>
      <c r="G615" t="s">
        <v>5</v>
      </c>
      <c r="H615" s="11">
        <v>79</v>
      </c>
      <c r="I615" s="18">
        <v>0.34549999999999997</v>
      </c>
      <c r="J615" s="18">
        <v>0.90310000000000001</v>
      </c>
      <c r="K615" s="18">
        <v>2.4912000000000001</v>
      </c>
      <c r="L615" s="18">
        <v>0.502</v>
      </c>
    </row>
    <row r="616" spans="1:12">
      <c r="A616" t="s">
        <v>528</v>
      </c>
      <c r="B616">
        <v>0.1</v>
      </c>
      <c r="C616">
        <v>128</v>
      </c>
      <c r="D616" s="1" t="b">
        <v>1</v>
      </c>
      <c r="E616" t="s">
        <v>547</v>
      </c>
      <c r="F616" t="s">
        <v>532</v>
      </c>
      <c r="G616" t="s">
        <v>5</v>
      </c>
      <c r="H616" s="11">
        <v>151</v>
      </c>
      <c r="I616" s="18">
        <v>0.79810000000000003</v>
      </c>
      <c r="J616" s="18">
        <v>0.7611</v>
      </c>
      <c r="K616" s="18">
        <v>1.8724000000000001</v>
      </c>
      <c r="L616" s="18">
        <v>0.50149999999999995</v>
      </c>
    </row>
    <row r="617" spans="1:12">
      <c r="A617" t="s">
        <v>556</v>
      </c>
      <c r="B617">
        <v>0.5</v>
      </c>
      <c r="C617">
        <v>64</v>
      </c>
      <c r="D617" t="b">
        <v>0</v>
      </c>
      <c r="E617" t="s">
        <v>548</v>
      </c>
      <c r="F617" t="s">
        <v>531</v>
      </c>
      <c r="G617" t="s">
        <v>3</v>
      </c>
      <c r="H617">
        <v>37</v>
      </c>
      <c r="I617">
        <v>0.34089999999999998</v>
      </c>
      <c r="J617">
        <v>0.90159999999999996</v>
      </c>
      <c r="K617">
        <v>2.2450999999999999</v>
      </c>
      <c r="L617">
        <v>0.501</v>
      </c>
    </row>
    <row r="618" spans="1:12">
      <c r="A618" t="s">
        <v>556</v>
      </c>
      <c r="B618">
        <v>0.3</v>
      </c>
      <c r="C618">
        <v>64</v>
      </c>
      <c r="D618" t="b">
        <v>0</v>
      </c>
      <c r="E618" t="s">
        <v>548</v>
      </c>
      <c r="F618" t="s">
        <v>531</v>
      </c>
      <c r="G618" t="s">
        <v>1</v>
      </c>
      <c r="H618">
        <v>34</v>
      </c>
      <c r="I618">
        <v>0.33500000000000002</v>
      </c>
      <c r="J618">
        <v>0.90249999999999997</v>
      </c>
      <c r="K618">
        <v>2.2667000000000002</v>
      </c>
      <c r="L618">
        <v>0.4995</v>
      </c>
    </row>
    <row r="619" spans="1:12">
      <c r="A619" t="s">
        <v>528</v>
      </c>
      <c r="B619">
        <v>0.1</v>
      </c>
      <c r="C619">
        <v>64</v>
      </c>
      <c r="D619" s="1" t="b">
        <v>0</v>
      </c>
      <c r="E619" t="s">
        <v>548</v>
      </c>
      <c r="F619" t="s">
        <v>531</v>
      </c>
      <c r="G619" t="s">
        <v>4</v>
      </c>
      <c r="H619" s="11">
        <v>49</v>
      </c>
      <c r="I619" s="18">
        <v>0.2122</v>
      </c>
      <c r="J619" s="18">
        <v>0.94569999999999999</v>
      </c>
      <c r="K619" s="18">
        <v>2.5110000000000001</v>
      </c>
      <c r="L619" s="18">
        <v>0.4995</v>
      </c>
    </row>
    <row r="620" spans="1:12">
      <c r="A620" t="s">
        <v>556</v>
      </c>
      <c r="B620">
        <v>0.1</v>
      </c>
      <c r="C620">
        <v>64</v>
      </c>
      <c r="D620" t="b">
        <v>0</v>
      </c>
      <c r="E620" t="s">
        <v>547</v>
      </c>
      <c r="F620" t="s">
        <v>531</v>
      </c>
      <c r="G620" t="s">
        <v>5</v>
      </c>
      <c r="H620">
        <v>32</v>
      </c>
      <c r="I620">
        <v>0.20749999999999999</v>
      </c>
      <c r="J620">
        <v>0.94369999999999998</v>
      </c>
      <c r="K620">
        <v>2.3719000000000001</v>
      </c>
      <c r="L620">
        <v>0.499</v>
      </c>
    </row>
    <row r="621" spans="1:12">
      <c r="A621" t="s">
        <v>528</v>
      </c>
      <c r="B621">
        <v>0.5</v>
      </c>
      <c r="C621">
        <v>64</v>
      </c>
      <c r="D621" s="1" t="b">
        <v>1</v>
      </c>
      <c r="E621" t="s">
        <v>547</v>
      </c>
      <c r="F621" t="s">
        <v>532</v>
      </c>
      <c r="G621" t="s">
        <v>0</v>
      </c>
      <c r="H621" s="11">
        <v>73</v>
      </c>
      <c r="I621" s="18">
        <v>1.5701000000000001</v>
      </c>
      <c r="J621" s="18">
        <v>0.51910000000000001</v>
      </c>
      <c r="K621" s="18">
        <v>1.8533999999999999</v>
      </c>
      <c r="L621" s="18">
        <v>0.4985</v>
      </c>
    </row>
    <row r="622" spans="1:12">
      <c r="A622" t="s">
        <v>528</v>
      </c>
      <c r="B622">
        <v>0.3</v>
      </c>
      <c r="C622">
        <v>128</v>
      </c>
      <c r="D622" s="1" t="b">
        <v>1</v>
      </c>
      <c r="E622" t="s">
        <v>548</v>
      </c>
      <c r="F622" t="s">
        <v>531</v>
      </c>
      <c r="G622" t="s">
        <v>5</v>
      </c>
      <c r="H622" s="11">
        <v>137</v>
      </c>
      <c r="I622" s="18">
        <v>0.27410000000000001</v>
      </c>
      <c r="J622" s="18">
        <v>0.91700000000000004</v>
      </c>
      <c r="K622" s="18">
        <v>2.3525</v>
      </c>
      <c r="L622" s="18">
        <v>0.4985</v>
      </c>
    </row>
    <row r="623" spans="1:12">
      <c r="A623" t="s">
        <v>528</v>
      </c>
      <c r="B623">
        <v>0.5</v>
      </c>
      <c r="C623">
        <v>128</v>
      </c>
      <c r="D623" s="1" t="b">
        <v>0</v>
      </c>
      <c r="E623" t="s">
        <v>547</v>
      </c>
      <c r="F623" t="s">
        <v>532</v>
      </c>
      <c r="G623" t="s">
        <v>0</v>
      </c>
      <c r="H623" s="11">
        <v>75</v>
      </c>
      <c r="I623" s="18">
        <v>1.5077</v>
      </c>
      <c r="J623" s="18">
        <v>0.54190000000000005</v>
      </c>
      <c r="K623" s="18">
        <v>1.8475999999999999</v>
      </c>
      <c r="L623" s="18">
        <v>0.4975</v>
      </c>
    </row>
    <row r="624" spans="1:12">
      <c r="A624" t="s">
        <v>528</v>
      </c>
      <c r="B624">
        <v>0.5</v>
      </c>
      <c r="C624">
        <v>64</v>
      </c>
      <c r="D624" s="1" t="b">
        <v>1</v>
      </c>
      <c r="E624" t="s">
        <v>547</v>
      </c>
      <c r="F624" t="s">
        <v>531</v>
      </c>
      <c r="G624" t="s">
        <v>1</v>
      </c>
      <c r="H624" s="11">
        <v>69</v>
      </c>
      <c r="I624" s="18">
        <v>0.8629</v>
      </c>
      <c r="J624" s="18">
        <v>0.74319999999999997</v>
      </c>
      <c r="K624" s="18">
        <v>1.9984</v>
      </c>
      <c r="L624" s="18">
        <v>0.497</v>
      </c>
    </row>
    <row r="625" spans="1:12">
      <c r="A625" t="s">
        <v>528</v>
      </c>
      <c r="B625">
        <v>0.1</v>
      </c>
      <c r="C625">
        <v>64</v>
      </c>
      <c r="D625" s="2" t="b">
        <v>1</v>
      </c>
      <c r="E625" t="s">
        <v>548</v>
      </c>
      <c r="F625" t="s">
        <v>531</v>
      </c>
      <c r="G625" t="s">
        <v>4</v>
      </c>
      <c r="H625" s="11">
        <v>65</v>
      </c>
      <c r="I625" s="18">
        <v>0.24779999999999999</v>
      </c>
      <c r="J625" s="18">
        <v>0.92859999999999998</v>
      </c>
      <c r="K625" s="18">
        <v>2.4340000000000002</v>
      </c>
      <c r="L625" s="18">
        <v>0.497</v>
      </c>
    </row>
    <row r="626" spans="1:12">
      <c r="A626" t="s">
        <v>528</v>
      </c>
      <c r="B626">
        <v>0.1</v>
      </c>
      <c r="C626">
        <v>128</v>
      </c>
      <c r="D626" s="1" t="b">
        <v>0</v>
      </c>
      <c r="E626" t="s">
        <v>548</v>
      </c>
      <c r="F626" t="s">
        <v>531</v>
      </c>
      <c r="G626" t="s">
        <v>3</v>
      </c>
      <c r="H626" s="11">
        <v>74</v>
      </c>
      <c r="I626" s="18">
        <v>0.1963</v>
      </c>
      <c r="J626" s="18">
        <v>0.94510000000000005</v>
      </c>
      <c r="K626" s="18">
        <v>2.5337999999999998</v>
      </c>
      <c r="L626" s="18">
        <v>0.497</v>
      </c>
    </row>
    <row r="627" spans="1:12">
      <c r="A627" t="s">
        <v>528</v>
      </c>
      <c r="B627">
        <v>0.1</v>
      </c>
      <c r="C627">
        <v>256</v>
      </c>
      <c r="D627" s="1" t="b">
        <v>1</v>
      </c>
      <c r="E627" t="s">
        <v>547</v>
      </c>
      <c r="F627" t="s">
        <v>532</v>
      </c>
      <c r="G627" t="s">
        <v>0</v>
      </c>
      <c r="H627" s="11">
        <v>291</v>
      </c>
      <c r="I627" s="18">
        <v>1.1383000000000001</v>
      </c>
      <c r="J627" s="18">
        <v>0.66290000000000004</v>
      </c>
      <c r="K627" s="18">
        <v>1.8228</v>
      </c>
      <c r="L627" s="18">
        <v>0.496</v>
      </c>
    </row>
    <row r="628" spans="1:12">
      <c r="A628" t="s">
        <v>556</v>
      </c>
      <c r="B628">
        <v>0.1</v>
      </c>
      <c r="C628">
        <v>128</v>
      </c>
      <c r="D628" t="b">
        <v>0</v>
      </c>
      <c r="E628" t="s">
        <v>548</v>
      </c>
      <c r="F628" t="s">
        <v>532</v>
      </c>
      <c r="G628" t="s">
        <v>1</v>
      </c>
      <c r="H628">
        <v>57</v>
      </c>
      <c r="I628">
        <v>0.68400000000000005</v>
      </c>
      <c r="J628">
        <v>0.79849999999999999</v>
      </c>
      <c r="K628">
        <v>2.0958000000000001</v>
      </c>
      <c r="L628">
        <v>0.496</v>
      </c>
    </row>
    <row r="629" spans="1:12">
      <c r="A629" t="s">
        <v>528</v>
      </c>
      <c r="B629">
        <v>0.3</v>
      </c>
      <c r="C629">
        <v>128</v>
      </c>
      <c r="D629" s="1" t="b">
        <v>1</v>
      </c>
      <c r="E629" t="s">
        <v>547</v>
      </c>
      <c r="F629" t="s">
        <v>531</v>
      </c>
      <c r="G629" t="s">
        <v>1</v>
      </c>
      <c r="H629" s="11">
        <v>138</v>
      </c>
      <c r="I629" s="18">
        <v>0.55000000000000004</v>
      </c>
      <c r="J629" s="18">
        <v>0.83599999999999997</v>
      </c>
      <c r="K629" s="18">
        <v>2.1793</v>
      </c>
      <c r="L629" s="18">
        <v>0.4955</v>
      </c>
    </row>
    <row r="630" spans="1:12">
      <c r="A630" t="s">
        <v>528</v>
      </c>
      <c r="B630">
        <v>0.5</v>
      </c>
      <c r="C630">
        <v>64</v>
      </c>
      <c r="D630" s="1" t="b">
        <v>1</v>
      </c>
      <c r="E630" t="s">
        <v>547</v>
      </c>
      <c r="F630" t="s">
        <v>532</v>
      </c>
      <c r="G630" t="s">
        <v>1</v>
      </c>
      <c r="H630" s="11">
        <v>73</v>
      </c>
      <c r="I630" s="18">
        <v>1.4873000000000001</v>
      </c>
      <c r="J630" s="18">
        <v>0.5444</v>
      </c>
      <c r="K630" s="18">
        <v>1.8867</v>
      </c>
      <c r="L630" s="18">
        <v>0.495</v>
      </c>
    </row>
    <row r="631" spans="1:12">
      <c r="A631" t="s">
        <v>556</v>
      </c>
      <c r="B631">
        <v>0.1</v>
      </c>
      <c r="C631">
        <v>128</v>
      </c>
      <c r="D631" t="b">
        <v>0</v>
      </c>
      <c r="E631" t="s">
        <v>548</v>
      </c>
      <c r="F631" t="s">
        <v>531</v>
      </c>
      <c r="G631" t="s">
        <v>2</v>
      </c>
      <c r="H631">
        <v>63</v>
      </c>
      <c r="I631">
        <v>0.1908</v>
      </c>
      <c r="J631">
        <v>0.94410000000000005</v>
      </c>
      <c r="K631">
        <v>2.4049999999999998</v>
      </c>
      <c r="L631">
        <v>0.4945</v>
      </c>
    </row>
    <row r="632" spans="1:12">
      <c r="A632" t="s">
        <v>528</v>
      </c>
      <c r="B632">
        <v>0.1</v>
      </c>
      <c r="C632">
        <v>256</v>
      </c>
      <c r="D632" s="1" t="b">
        <v>0</v>
      </c>
      <c r="E632" t="s">
        <v>548</v>
      </c>
      <c r="F632" t="s">
        <v>531</v>
      </c>
      <c r="G632" t="s">
        <v>3</v>
      </c>
      <c r="H632" s="11">
        <v>137</v>
      </c>
      <c r="I632" s="18">
        <v>0.21740000000000001</v>
      </c>
      <c r="J632" s="18">
        <v>0.93600000000000005</v>
      </c>
      <c r="K632" s="18">
        <v>2.4964</v>
      </c>
      <c r="L632" s="18">
        <v>0.4945</v>
      </c>
    </row>
    <row r="633" spans="1:12">
      <c r="A633" t="s">
        <v>528</v>
      </c>
      <c r="B633">
        <v>0.5</v>
      </c>
      <c r="C633">
        <v>256</v>
      </c>
      <c r="D633" s="1" t="b">
        <v>1</v>
      </c>
      <c r="E633" t="s">
        <v>548</v>
      </c>
      <c r="F633" t="s">
        <v>531</v>
      </c>
      <c r="G633" t="s">
        <v>4</v>
      </c>
      <c r="H633" s="11">
        <v>277</v>
      </c>
      <c r="I633" s="18">
        <v>0.4405</v>
      </c>
      <c r="J633" s="18">
        <v>0.86709999999999998</v>
      </c>
      <c r="K633" s="18">
        <v>2.0861999999999998</v>
      </c>
      <c r="L633" s="18">
        <v>0.49399999999999999</v>
      </c>
    </row>
    <row r="634" spans="1:12">
      <c r="A634" t="s">
        <v>528</v>
      </c>
      <c r="B634">
        <v>0.3</v>
      </c>
      <c r="C634">
        <v>64</v>
      </c>
      <c r="D634" s="1" t="b">
        <v>1</v>
      </c>
      <c r="E634" t="s">
        <v>547</v>
      </c>
      <c r="F634" t="s">
        <v>531</v>
      </c>
      <c r="G634" t="s">
        <v>1</v>
      </c>
      <c r="H634" s="11">
        <v>68</v>
      </c>
      <c r="I634" s="18">
        <v>0.65229999999999999</v>
      </c>
      <c r="J634" s="18">
        <v>0.80959999999999999</v>
      </c>
      <c r="K634" s="18">
        <v>2.0718000000000001</v>
      </c>
      <c r="L634" s="18">
        <v>0.49349999999999999</v>
      </c>
    </row>
    <row r="635" spans="1:12">
      <c r="A635" t="s">
        <v>528</v>
      </c>
      <c r="B635">
        <v>0.1</v>
      </c>
      <c r="C635">
        <v>64</v>
      </c>
      <c r="D635" s="2" t="b">
        <v>1</v>
      </c>
      <c r="E635" t="s">
        <v>548</v>
      </c>
      <c r="F635" t="s">
        <v>531</v>
      </c>
      <c r="G635" t="s">
        <v>1</v>
      </c>
      <c r="H635" s="11">
        <v>65</v>
      </c>
      <c r="I635" s="18">
        <v>0.32450000000000001</v>
      </c>
      <c r="J635" s="18">
        <v>0.90810000000000002</v>
      </c>
      <c r="K635" s="18">
        <v>2.4165999999999999</v>
      </c>
      <c r="L635" s="18">
        <v>0.49199999999999999</v>
      </c>
    </row>
    <row r="636" spans="1:12">
      <c r="A636" t="s">
        <v>556</v>
      </c>
      <c r="B636">
        <v>0.3</v>
      </c>
      <c r="C636">
        <v>64</v>
      </c>
      <c r="D636" t="b">
        <v>0</v>
      </c>
      <c r="E636" t="s">
        <v>548</v>
      </c>
      <c r="F636" t="s">
        <v>531</v>
      </c>
      <c r="G636" t="s">
        <v>4</v>
      </c>
      <c r="H636">
        <v>34</v>
      </c>
      <c r="I636">
        <v>0.23319999999999999</v>
      </c>
      <c r="J636">
        <v>0.93300000000000005</v>
      </c>
      <c r="K636">
        <v>2.4268999999999998</v>
      </c>
      <c r="L636">
        <v>0.49199999999999999</v>
      </c>
    </row>
    <row r="637" spans="1:12">
      <c r="A637" t="s">
        <v>528</v>
      </c>
      <c r="B637">
        <v>0.1</v>
      </c>
      <c r="C637">
        <v>64</v>
      </c>
      <c r="D637" s="2" t="b">
        <v>1</v>
      </c>
      <c r="E637" t="s">
        <v>548</v>
      </c>
      <c r="F637" t="s">
        <v>531</v>
      </c>
      <c r="G637" t="s">
        <v>5</v>
      </c>
      <c r="H637" s="11">
        <v>65</v>
      </c>
      <c r="I637" s="18">
        <v>0.22750000000000001</v>
      </c>
      <c r="J637" s="18">
        <v>0.93530000000000002</v>
      </c>
      <c r="K637" s="18">
        <v>2.4622000000000002</v>
      </c>
      <c r="L637" s="18">
        <v>0.48899999999999999</v>
      </c>
    </row>
    <row r="638" spans="1:12">
      <c r="A638" t="s">
        <v>528</v>
      </c>
      <c r="B638">
        <v>0.1</v>
      </c>
      <c r="C638">
        <v>256</v>
      </c>
      <c r="D638" s="1" t="b">
        <v>0</v>
      </c>
      <c r="E638" t="s">
        <v>548</v>
      </c>
      <c r="F638" t="s">
        <v>531</v>
      </c>
      <c r="G638" t="s">
        <v>4</v>
      </c>
      <c r="H638" s="11">
        <v>138</v>
      </c>
      <c r="I638" s="18">
        <v>0.1938</v>
      </c>
      <c r="J638" s="18">
        <v>0.94230000000000003</v>
      </c>
      <c r="K638" s="18">
        <v>2.516</v>
      </c>
      <c r="L638" s="18">
        <v>0.48899999999999999</v>
      </c>
    </row>
    <row r="639" spans="1:12">
      <c r="A639" t="s">
        <v>528</v>
      </c>
      <c r="B639">
        <v>0.5</v>
      </c>
      <c r="C639">
        <v>64</v>
      </c>
      <c r="D639" s="1" t="b">
        <v>0</v>
      </c>
      <c r="E639" t="s">
        <v>547</v>
      </c>
      <c r="F639" t="s">
        <v>532</v>
      </c>
      <c r="G639" t="s">
        <v>0</v>
      </c>
      <c r="H639" s="11">
        <v>41</v>
      </c>
      <c r="I639" s="18">
        <v>1.5713999999999999</v>
      </c>
      <c r="J639" s="18">
        <v>0.51649999999999996</v>
      </c>
      <c r="K639" s="18">
        <v>1.8545</v>
      </c>
      <c r="L639" s="18">
        <v>0.48799999999999999</v>
      </c>
    </row>
    <row r="640" spans="1:12">
      <c r="A640" t="s">
        <v>528</v>
      </c>
      <c r="B640">
        <v>0.1</v>
      </c>
      <c r="C640">
        <v>128</v>
      </c>
      <c r="D640" s="1" t="b">
        <v>1</v>
      </c>
      <c r="E640" t="s">
        <v>548</v>
      </c>
      <c r="F640" t="s">
        <v>531</v>
      </c>
      <c r="G640" t="s">
        <v>0</v>
      </c>
      <c r="H640" s="11">
        <v>137</v>
      </c>
      <c r="I640" s="18">
        <v>0.36530000000000001</v>
      </c>
      <c r="J640" s="18">
        <v>0.89419999999999999</v>
      </c>
      <c r="K640" s="18">
        <v>2.2130000000000001</v>
      </c>
      <c r="L640" s="18">
        <v>0.48599999999999999</v>
      </c>
    </row>
    <row r="641" spans="1:12">
      <c r="A641" t="s">
        <v>528</v>
      </c>
      <c r="B641">
        <v>0.1</v>
      </c>
      <c r="C641">
        <v>64</v>
      </c>
      <c r="D641" s="2" t="b">
        <v>1</v>
      </c>
      <c r="E641" t="s">
        <v>548</v>
      </c>
      <c r="F641" t="s">
        <v>531</v>
      </c>
      <c r="G641" t="s">
        <v>2</v>
      </c>
      <c r="H641" s="11">
        <v>65</v>
      </c>
      <c r="I641" s="18">
        <v>0.27960000000000002</v>
      </c>
      <c r="J641" s="18">
        <v>0.9224</v>
      </c>
      <c r="K641" s="18">
        <v>2.4243000000000001</v>
      </c>
      <c r="L641" s="18">
        <v>0.48499999999999999</v>
      </c>
    </row>
    <row r="642" spans="1:12">
      <c r="A642" t="s">
        <v>528</v>
      </c>
      <c r="B642">
        <v>0.1</v>
      </c>
      <c r="C642">
        <v>64</v>
      </c>
      <c r="D642" s="2" t="b">
        <v>1</v>
      </c>
      <c r="E642" t="s">
        <v>548</v>
      </c>
      <c r="F642" t="s">
        <v>531</v>
      </c>
      <c r="G642" t="s">
        <v>0</v>
      </c>
      <c r="H642">
        <v>65</v>
      </c>
      <c r="I642" s="18">
        <v>0.36449999999999999</v>
      </c>
      <c r="J642" s="18">
        <v>0.89539999999999997</v>
      </c>
      <c r="K642" s="18">
        <v>2.2812999999999999</v>
      </c>
      <c r="L642" s="18">
        <v>0.48449999999999999</v>
      </c>
    </row>
    <row r="643" spans="1:12">
      <c r="A643" t="s">
        <v>528</v>
      </c>
      <c r="B643">
        <v>0.1</v>
      </c>
      <c r="C643">
        <v>64</v>
      </c>
      <c r="D643" s="2" t="b">
        <v>1</v>
      </c>
      <c r="E643" t="s">
        <v>548</v>
      </c>
      <c r="F643" t="s">
        <v>531</v>
      </c>
      <c r="G643" t="s">
        <v>3</v>
      </c>
      <c r="H643" s="11">
        <v>65</v>
      </c>
      <c r="I643" s="18">
        <v>0.27860000000000001</v>
      </c>
      <c r="J643" s="18">
        <v>0.92069999999999996</v>
      </c>
      <c r="K643" s="18">
        <v>2.4975000000000001</v>
      </c>
      <c r="L643" s="18">
        <v>0.47149999999999997</v>
      </c>
    </row>
  </sheetData>
  <autoFilter ref="A1:L643">
    <sortState ref="A2:L643">
      <sortCondition descending="1" ref="L1:L643"/>
    </sortState>
  </autoFilter>
  <pageMargins left="0.75" right="0.75" top="1" bottom="1" header="0.5" footer="0.5"/>
  <pageSetup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217"/>
  <sheetViews>
    <sheetView workbookViewId="0">
      <selection activeCell="L5" sqref="A5:L5"/>
    </sheetView>
  </sheetViews>
  <sheetFormatPr baseColWidth="10" defaultRowHeight="15" x14ac:dyDescent="0"/>
  <sheetData>
    <row r="1" spans="1:12">
      <c r="A1" s="12" t="s">
        <v>538</v>
      </c>
      <c r="B1" s="12" t="s">
        <v>553</v>
      </c>
      <c r="C1" s="12" t="s">
        <v>529</v>
      </c>
      <c r="D1" s="13" t="s">
        <v>540</v>
      </c>
      <c r="E1" s="12" t="s">
        <v>539</v>
      </c>
      <c r="F1" s="12" t="s">
        <v>530</v>
      </c>
      <c r="G1" s="12" t="s">
        <v>6</v>
      </c>
      <c r="H1" s="12" t="s">
        <v>533</v>
      </c>
      <c r="I1" s="17" t="s">
        <v>536</v>
      </c>
      <c r="J1" s="17" t="s">
        <v>537</v>
      </c>
      <c r="K1" s="17" t="s">
        <v>534</v>
      </c>
      <c r="L1" s="17" t="s">
        <v>535</v>
      </c>
    </row>
    <row r="2" spans="1:12">
      <c r="A2" t="s">
        <v>556</v>
      </c>
      <c r="B2">
        <v>0.5</v>
      </c>
      <c r="C2">
        <v>256</v>
      </c>
      <c r="D2" t="b">
        <v>0</v>
      </c>
      <c r="E2" t="s">
        <v>547</v>
      </c>
      <c r="F2" t="s">
        <v>532</v>
      </c>
      <c r="G2" t="s">
        <v>3</v>
      </c>
      <c r="H2">
        <v>120</v>
      </c>
      <c r="I2">
        <v>0.98160000000000003</v>
      </c>
      <c r="J2">
        <v>0.70150000000000001</v>
      </c>
      <c r="K2">
        <v>1.5972999999999999</v>
      </c>
      <c r="L2">
        <v>0.57350000000000001</v>
      </c>
    </row>
    <row r="3" spans="1:12">
      <c r="A3" t="s">
        <v>556</v>
      </c>
      <c r="B3">
        <v>0.5</v>
      </c>
      <c r="C3">
        <v>256</v>
      </c>
      <c r="D3" t="b">
        <v>0</v>
      </c>
      <c r="E3" t="s">
        <v>547</v>
      </c>
      <c r="F3" t="s">
        <v>532</v>
      </c>
      <c r="G3" t="s">
        <v>5</v>
      </c>
      <c r="H3">
        <v>120</v>
      </c>
      <c r="I3">
        <v>0.86160000000000003</v>
      </c>
      <c r="J3">
        <v>0.74039999999999995</v>
      </c>
      <c r="K3">
        <v>1.6245000000000001</v>
      </c>
      <c r="L3">
        <v>0.56699999999999995</v>
      </c>
    </row>
    <row r="4" spans="1:12">
      <c r="A4" t="s">
        <v>556</v>
      </c>
      <c r="B4">
        <v>0.3</v>
      </c>
      <c r="C4">
        <v>256</v>
      </c>
      <c r="D4" t="b">
        <v>0</v>
      </c>
      <c r="E4" t="s">
        <v>548</v>
      </c>
      <c r="F4" t="s">
        <v>532</v>
      </c>
      <c r="G4" t="s">
        <v>1</v>
      </c>
      <c r="H4">
        <v>115</v>
      </c>
      <c r="I4">
        <v>0.76690000000000003</v>
      </c>
      <c r="J4">
        <v>0.76880000000000004</v>
      </c>
      <c r="K4">
        <v>1.6671</v>
      </c>
      <c r="L4">
        <v>0.56599999999999995</v>
      </c>
    </row>
    <row r="5" spans="1:12">
      <c r="A5" t="s">
        <v>556</v>
      </c>
      <c r="B5">
        <v>0.3</v>
      </c>
      <c r="C5">
        <v>64</v>
      </c>
      <c r="D5" t="b">
        <v>0</v>
      </c>
      <c r="E5" t="s">
        <v>547</v>
      </c>
      <c r="F5" t="s">
        <v>532</v>
      </c>
      <c r="G5" t="s">
        <v>5</v>
      </c>
      <c r="H5">
        <v>34</v>
      </c>
      <c r="I5">
        <v>0.8821</v>
      </c>
      <c r="J5">
        <v>0.74439999999999995</v>
      </c>
      <c r="K5">
        <v>1.6727000000000001</v>
      </c>
      <c r="L5">
        <v>0.56299999999999994</v>
      </c>
    </row>
    <row r="6" spans="1:12">
      <c r="A6" t="s">
        <v>556</v>
      </c>
      <c r="B6">
        <v>0.3</v>
      </c>
      <c r="C6">
        <v>128</v>
      </c>
      <c r="D6" t="b">
        <v>0</v>
      </c>
      <c r="E6" t="s">
        <v>548</v>
      </c>
      <c r="F6" t="s">
        <v>532</v>
      </c>
      <c r="G6" t="s">
        <v>2</v>
      </c>
      <c r="H6">
        <v>58</v>
      </c>
      <c r="I6">
        <v>0.7319</v>
      </c>
      <c r="J6">
        <v>0.77890000000000004</v>
      </c>
      <c r="K6">
        <v>1.7057</v>
      </c>
      <c r="L6">
        <v>0.5615</v>
      </c>
    </row>
    <row r="7" spans="1:12">
      <c r="A7" t="s">
        <v>556</v>
      </c>
      <c r="B7">
        <v>0.3</v>
      </c>
      <c r="C7">
        <v>64</v>
      </c>
      <c r="D7" t="b">
        <v>0</v>
      </c>
      <c r="E7" t="s">
        <v>547</v>
      </c>
      <c r="F7" t="s">
        <v>532</v>
      </c>
      <c r="G7" t="s">
        <v>3</v>
      </c>
      <c r="H7">
        <v>36</v>
      </c>
      <c r="I7">
        <v>1.0071000000000001</v>
      </c>
      <c r="J7">
        <v>0.69950000000000001</v>
      </c>
      <c r="K7">
        <v>1.7031000000000001</v>
      </c>
      <c r="L7">
        <v>0.56100000000000005</v>
      </c>
    </row>
    <row r="8" spans="1:12">
      <c r="A8" t="s">
        <v>556</v>
      </c>
      <c r="B8">
        <v>0.1</v>
      </c>
      <c r="C8">
        <v>256</v>
      </c>
      <c r="D8" t="b">
        <v>0</v>
      </c>
      <c r="E8" t="s">
        <v>547</v>
      </c>
      <c r="F8" t="s">
        <v>532</v>
      </c>
      <c r="G8" t="s">
        <v>4</v>
      </c>
      <c r="H8">
        <v>134</v>
      </c>
      <c r="I8">
        <v>0.61909999999999998</v>
      </c>
      <c r="J8">
        <v>0.81740000000000002</v>
      </c>
      <c r="K8">
        <v>1.7210000000000001</v>
      </c>
      <c r="L8">
        <v>0.5605</v>
      </c>
    </row>
    <row r="9" spans="1:12">
      <c r="A9" t="s">
        <v>556</v>
      </c>
      <c r="B9">
        <v>0.3</v>
      </c>
      <c r="C9">
        <v>128</v>
      </c>
      <c r="D9" t="b">
        <v>0</v>
      </c>
      <c r="E9" t="s">
        <v>547</v>
      </c>
      <c r="F9" t="s">
        <v>532</v>
      </c>
      <c r="G9" t="s">
        <v>1</v>
      </c>
      <c r="H9">
        <v>60</v>
      </c>
      <c r="I9">
        <v>1.0066999999999999</v>
      </c>
      <c r="J9">
        <v>0.7</v>
      </c>
      <c r="K9">
        <v>1.6620999999999999</v>
      </c>
      <c r="L9">
        <v>0.56000000000000005</v>
      </c>
    </row>
    <row r="10" spans="1:12">
      <c r="A10" t="s">
        <v>556</v>
      </c>
      <c r="B10">
        <v>0.3</v>
      </c>
      <c r="C10">
        <v>64</v>
      </c>
      <c r="D10" t="b">
        <v>0</v>
      </c>
      <c r="E10" t="s">
        <v>547</v>
      </c>
      <c r="F10" t="s">
        <v>532</v>
      </c>
      <c r="G10" t="s">
        <v>4</v>
      </c>
      <c r="H10">
        <v>35</v>
      </c>
      <c r="I10">
        <v>0.95050000000000001</v>
      </c>
      <c r="J10">
        <v>0.71840000000000004</v>
      </c>
      <c r="K10">
        <v>1.6904999999999999</v>
      </c>
      <c r="L10">
        <v>0.55900000000000005</v>
      </c>
    </row>
    <row r="11" spans="1:12">
      <c r="A11" t="s">
        <v>556</v>
      </c>
      <c r="B11">
        <v>0.3</v>
      </c>
      <c r="C11">
        <v>128</v>
      </c>
      <c r="D11" t="b">
        <v>0</v>
      </c>
      <c r="E11" t="s">
        <v>547</v>
      </c>
      <c r="F11" t="s">
        <v>532</v>
      </c>
      <c r="G11" t="s">
        <v>3</v>
      </c>
      <c r="H11">
        <v>61</v>
      </c>
      <c r="I11">
        <v>0.86539999999999995</v>
      </c>
      <c r="J11">
        <v>0.74419999999999997</v>
      </c>
      <c r="K11">
        <v>1.6264000000000001</v>
      </c>
      <c r="L11">
        <v>0.55900000000000005</v>
      </c>
    </row>
    <row r="12" spans="1:12">
      <c r="A12" t="s">
        <v>556</v>
      </c>
      <c r="B12">
        <v>0.5</v>
      </c>
      <c r="C12">
        <v>128</v>
      </c>
      <c r="D12" t="b">
        <v>0</v>
      </c>
      <c r="E12" t="s">
        <v>547</v>
      </c>
      <c r="F12" t="s">
        <v>531</v>
      </c>
      <c r="G12" t="s">
        <v>0</v>
      </c>
      <c r="H12">
        <v>61</v>
      </c>
      <c r="I12">
        <v>0.54490000000000005</v>
      </c>
      <c r="J12">
        <v>0.83950000000000002</v>
      </c>
      <c r="K12">
        <v>1.776</v>
      </c>
      <c r="L12">
        <v>0.55900000000000005</v>
      </c>
    </row>
    <row r="13" spans="1:12">
      <c r="A13" t="s">
        <v>556</v>
      </c>
      <c r="B13">
        <v>0.5</v>
      </c>
      <c r="C13">
        <v>256</v>
      </c>
      <c r="D13" t="b">
        <v>0</v>
      </c>
      <c r="E13" t="s">
        <v>547</v>
      </c>
      <c r="F13" t="s">
        <v>532</v>
      </c>
      <c r="G13" t="s">
        <v>2</v>
      </c>
      <c r="H13">
        <v>120</v>
      </c>
      <c r="I13">
        <v>1.0327</v>
      </c>
      <c r="J13">
        <v>0.68710000000000004</v>
      </c>
      <c r="K13">
        <v>1.6281000000000001</v>
      </c>
      <c r="L13">
        <v>0.55900000000000005</v>
      </c>
    </row>
    <row r="14" spans="1:12">
      <c r="A14" t="s">
        <v>556</v>
      </c>
      <c r="B14">
        <v>0.3</v>
      </c>
      <c r="C14">
        <v>256</v>
      </c>
      <c r="D14" t="b">
        <v>0</v>
      </c>
      <c r="E14" t="s">
        <v>548</v>
      </c>
      <c r="F14" t="s">
        <v>532</v>
      </c>
      <c r="G14" t="s">
        <v>3</v>
      </c>
      <c r="H14">
        <v>114</v>
      </c>
      <c r="I14">
        <v>0.64490000000000003</v>
      </c>
      <c r="J14">
        <v>0.81079999999999997</v>
      </c>
      <c r="K14">
        <v>1.7118</v>
      </c>
      <c r="L14">
        <v>0.5585</v>
      </c>
    </row>
    <row r="15" spans="1:12">
      <c r="A15" t="s">
        <v>556</v>
      </c>
      <c r="B15">
        <v>0.5</v>
      </c>
      <c r="C15">
        <v>128</v>
      </c>
      <c r="D15" t="b">
        <v>0</v>
      </c>
      <c r="E15" t="s">
        <v>547</v>
      </c>
      <c r="F15" t="s">
        <v>532</v>
      </c>
      <c r="G15" t="s">
        <v>3</v>
      </c>
      <c r="H15">
        <v>61</v>
      </c>
      <c r="I15">
        <v>1.0429999999999999</v>
      </c>
      <c r="J15">
        <v>0.6875</v>
      </c>
      <c r="K15">
        <v>1.6319999999999999</v>
      </c>
      <c r="L15">
        <v>0.5585</v>
      </c>
    </row>
    <row r="16" spans="1:12">
      <c r="A16" t="s">
        <v>556</v>
      </c>
      <c r="B16">
        <v>0.3</v>
      </c>
      <c r="C16">
        <v>256</v>
      </c>
      <c r="D16" t="b">
        <v>0</v>
      </c>
      <c r="E16" t="s">
        <v>548</v>
      </c>
      <c r="F16" t="s">
        <v>532</v>
      </c>
      <c r="G16" t="s">
        <v>2</v>
      </c>
      <c r="H16">
        <v>115</v>
      </c>
      <c r="I16">
        <v>0.71309999999999996</v>
      </c>
      <c r="J16">
        <v>0.78710000000000002</v>
      </c>
      <c r="K16">
        <v>1.7745</v>
      </c>
      <c r="L16">
        <v>0.55700000000000005</v>
      </c>
    </row>
    <row r="17" spans="1:12">
      <c r="A17" t="s">
        <v>556</v>
      </c>
      <c r="B17">
        <v>0.3</v>
      </c>
      <c r="C17">
        <v>256</v>
      </c>
      <c r="D17" t="b">
        <v>0</v>
      </c>
      <c r="E17" t="s">
        <v>547</v>
      </c>
      <c r="F17" t="s">
        <v>532</v>
      </c>
      <c r="G17" t="s">
        <v>4</v>
      </c>
      <c r="H17">
        <v>119</v>
      </c>
      <c r="I17">
        <v>0.7621</v>
      </c>
      <c r="J17">
        <v>0.77070000000000005</v>
      </c>
      <c r="K17">
        <v>1.639</v>
      </c>
      <c r="L17">
        <v>0.55700000000000005</v>
      </c>
    </row>
    <row r="18" spans="1:12">
      <c r="A18" t="s">
        <v>556</v>
      </c>
      <c r="B18">
        <v>0.5</v>
      </c>
      <c r="C18">
        <v>64</v>
      </c>
      <c r="D18" t="b">
        <v>0</v>
      </c>
      <c r="E18" t="s">
        <v>547</v>
      </c>
      <c r="F18" t="s">
        <v>531</v>
      </c>
      <c r="G18" t="s">
        <v>3</v>
      </c>
      <c r="H18">
        <v>38</v>
      </c>
      <c r="I18">
        <v>0.42520000000000002</v>
      </c>
      <c r="J18">
        <v>0.87890000000000001</v>
      </c>
      <c r="K18">
        <v>1.9422999999999999</v>
      </c>
      <c r="L18">
        <v>0.55649999999999999</v>
      </c>
    </row>
    <row r="19" spans="1:12">
      <c r="A19" t="s">
        <v>556</v>
      </c>
      <c r="B19">
        <v>0.5</v>
      </c>
      <c r="C19">
        <v>64</v>
      </c>
      <c r="D19" t="b">
        <v>0</v>
      </c>
      <c r="E19" t="s">
        <v>547</v>
      </c>
      <c r="F19" t="s">
        <v>532</v>
      </c>
      <c r="G19" t="s">
        <v>4</v>
      </c>
      <c r="H19">
        <v>39</v>
      </c>
      <c r="I19">
        <v>1.1357999999999999</v>
      </c>
      <c r="J19">
        <v>0.66690000000000005</v>
      </c>
      <c r="K19">
        <v>1.6559999999999999</v>
      </c>
      <c r="L19">
        <v>0.55649999999999999</v>
      </c>
    </row>
    <row r="20" spans="1:12">
      <c r="A20" t="s">
        <v>556</v>
      </c>
      <c r="B20">
        <v>0.5</v>
      </c>
      <c r="C20">
        <v>256</v>
      </c>
      <c r="D20" t="b">
        <v>0</v>
      </c>
      <c r="E20" t="s">
        <v>548</v>
      </c>
      <c r="F20" t="s">
        <v>532</v>
      </c>
      <c r="G20" t="s">
        <v>2</v>
      </c>
      <c r="H20">
        <v>115</v>
      </c>
      <c r="I20">
        <v>0.90600000000000003</v>
      </c>
      <c r="J20">
        <v>0.7238</v>
      </c>
      <c r="K20">
        <v>1.6475</v>
      </c>
      <c r="L20">
        <v>0.55649999999999999</v>
      </c>
    </row>
    <row r="21" spans="1:12">
      <c r="A21" t="s">
        <v>556</v>
      </c>
      <c r="B21">
        <v>0.1</v>
      </c>
      <c r="C21">
        <v>128</v>
      </c>
      <c r="D21" t="b">
        <v>0</v>
      </c>
      <c r="E21" t="s">
        <v>547</v>
      </c>
      <c r="F21" t="s">
        <v>532</v>
      </c>
      <c r="G21" t="s">
        <v>2</v>
      </c>
      <c r="H21">
        <v>56</v>
      </c>
      <c r="I21">
        <v>0.84660000000000002</v>
      </c>
      <c r="J21">
        <v>0.75160000000000005</v>
      </c>
      <c r="K21">
        <v>1.6528</v>
      </c>
      <c r="L21">
        <v>0.55600000000000005</v>
      </c>
    </row>
    <row r="22" spans="1:12">
      <c r="A22" t="s">
        <v>556</v>
      </c>
      <c r="B22">
        <v>0.5</v>
      </c>
      <c r="C22">
        <v>256</v>
      </c>
      <c r="D22" t="b">
        <v>0</v>
      </c>
      <c r="E22" t="s">
        <v>548</v>
      </c>
      <c r="F22" t="s">
        <v>532</v>
      </c>
      <c r="G22" t="s">
        <v>1</v>
      </c>
      <c r="H22">
        <v>115</v>
      </c>
      <c r="I22">
        <v>0.9728</v>
      </c>
      <c r="J22">
        <v>0.70409999999999995</v>
      </c>
      <c r="K22">
        <v>1.6774</v>
      </c>
      <c r="L22">
        <v>0.55600000000000005</v>
      </c>
    </row>
    <row r="23" spans="1:12">
      <c r="A23" t="s">
        <v>556</v>
      </c>
      <c r="B23">
        <v>0.5</v>
      </c>
      <c r="C23">
        <v>256</v>
      </c>
      <c r="D23" t="b">
        <v>0</v>
      </c>
      <c r="E23" t="s">
        <v>548</v>
      </c>
      <c r="F23" t="s">
        <v>532</v>
      </c>
      <c r="G23" t="s">
        <v>5</v>
      </c>
      <c r="H23">
        <v>115</v>
      </c>
      <c r="I23">
        <v>0.71260000000000001</v>
      </c>
      <c r="J23">
        <v>0.78159999999999996</v>
      </c>
      <c r="K23">
        <v>1.7443</v>
      </c>
      <c r="L23">
        <v>0.55600000000000005</v>
      </c>
    </row>
    <row r="24" spans="1:12">
      <c r="A24" t="s">
        <v>556</v>
      </c>
      <c r="B24">
        <v>0.3</v>
      </c>
      <c r="C24">
        <v>256</v>
      </c>
      <c r="D24" t="b">
        <v>0</v>
      </c>
      <c r="E24" t="s">
        <v>548</v>
      </c>
      <c r="F24" t="s">
        <v>532</v>
      </c>
      <c r="G24" t="s">
        <v>5</v>
      </c>
      <c r="H24">
        <v>113</v>
      </c>
      <c r="I24">
        <v>0.53600000000000003</v>
      </c>
      <c r="J24">
        <v>0.83589999999999998</v>
      </c>
      <c r="K24">
        <v>1.8609</v>
      </c>
      <c r="L24">
        <v>0.55549999999999999</v>
      </c>
    </row>
    <row r="25" spans="1:12">
      <c r="A25" t="s">
        <v>556</v>
      </c>
      <c r="B25">
        <v>0.3</v>
      </c>
      <c r="C25">
        <v>128</v>
      </c>
      <c r="D25" t="b">
        <v>0</v>
      </c>
      <c r="E25" t="s">
        <v>547</v>
      </c>
      <c r="F25" t="s">
        <v>532</v>
      </c>
      <c r="G25" t="s">
        <v>0</v>
      </c>
      <c r="H25">
        <v>60</v>
      </c>
      <c r="I25">
        <v>1.0611999999999999</v>
      </c>
      <c r="J25">
        <v>0.6875</v>
      </c>
      <c r="K25">
        <v>1.6368</v>
      </c>
      <c r="L25">
        <v>0.55500000000000005</v>
      </c>
    </row>
    <row r="26" spans="1:12">
      <c r="A26" t="s">
        <v>556</v>
      </c>
      <c r="B26">
        <v>0.5</v>
      </c>
      <c r="C26">
        <v>128</v>
      </c>
      <c r="D26" t="b">
        <v>0</v>
      </c>
      <c r="E26" t="s">
        <v>548</v>
      </c>
      <c r="F26" t="s">
        <v>532</v>
      </c>
      <c r="G26" t="s">
        <v>5</v>
      </c>
      <c r="H26">
        <v>58</v>
      </c>
      <c r="I26">
        <v>0.73229999999999995</v>
      </c>
      <c r="J26">
        <v>0.78090000000000004</v>
      </c>
      <c r="K26">
        <v>1.6818</v>
      </c>
      <c r="L26">
        <v>0.55500000000000005</v>
      </c>
    </row>
    <row r="27" spans="1:12">
      <c r="A27" t="s">
        <v>556</v>
      </c>
      <c r="B27">
        <v>0.3</v>
      </c>
      <c r="C27">
        <v>128</v>
      </c>
      <c r="D27" t="b">
        <v>0</v>
      </c>
      <c r="E27" t="s">
        <v>547</v>
      </c>
      <c r="F27" t="s">
        <v>532</v>
      </c>
      <c r="G27" t="s">
        <v>2</v>
      </c>
      <c r="H27">
        <v>63</v>
      </c>
      <c r="I27">
        <v>0.93710000000000004</v>
      </c>
      <c r="J27">
        <v>0.72450000000000003</v>
      </c>
      <c r="K27">
        <v>1.6677999999999999</v>
      </c>
      <c r="L27">
        <v>0.55449999999999999</v>
      </c>
    </row>
    <row r="28" spans="1:12">
      <c r="A28" t="s">
        <v>556</v>
      </c>
      <c r="B28">
        <v>0.5</v>
      </c>
      <c r="C28">
        <v>128</v>
      </c>
      <c r="D28" t="b">
        <v>0</v>
      </c>
      <c r="E28" t="s">
        <v>548</v>
      </c>
      <c r="F28" t="s">
        <v>532</v>
      </c>
      <c r="G28" t="s">
        <v>2</v>
      </c>
      <c r="H28">
        <v>58</v>
      </c>
      <c r="I28">
        <v>0.89229999999999998</v>
      </c>
      <c r="J28">
        <v>0.73370000000000002</v>
      </c>
      <c r="K28">
        <v>1.6407</v>
      </c>
      <c r="L28">
        <v>0.55449999999999999</v>
      </c>
    </row>
    <row r="29" spans="1:12">
      <c r="A29" t="s">
        <v>556</v>
      </c>
      <c r="B29">
        <v>0.1</v>
      </c>
      <c r="C29">
        <v>64</v>
      </c>
      <c r="D29" t="b">
        <v>0</v>
      </c>
      <c r="E29" t="s">
        <v>547</v>
      </c>
      <c r="F29" t="s">
        <v>532</v>
      </c>
      <c r="G29" t="s">
        <v>3</v>
      </c>
      <c r="H29">
        <v>33</v>
      </c>
      <c r="I29">
        <v>0.88149999999999995</v>
      </c>
      <c r="J29">
        <v>0.73950000000000005</v>
      </c>
      <c r="K29">
        <v>1.6837</v>
      </c>
      <c r="L29">
        <v>0.55400000000000005</v>
      </c>
    </row>
    <row r="30" spans="1:12">
      <c r="A30" t="s">
        <v>556</v>
      </c>
      <c r="B30">
        <v>0.1</v>
      </c>
      <c r="C30">
        <v>64</v>
      </c>
      <c r="D30" t="b">
        <v>0</v>
      </c>
      <c r="E30" t="s">
        <v>547</v>
      </c>
      <c r="F30" t="s">
        <v>532</v>
      </c>
      <c r="G30" t="s">
        <v>5</v>
      </c>
      <c r="H30">
        <v>33</v>
      </c>
      <c r="I30">
        <v>0.7429</v>
      </c>
      <c r="J30">
        <v>0.78939999999999999</v>
      </c>
      <c r="K30">
        <v>1.7182999999999999</v>
      </c>
      <c r="L30">
        <v>0.55400000000000005</v>
      </c>
    </row>
    <row r="31" spans="1:12">
      <c r="A31" t="s">
        <v>556</v>
      </c>
      <c r="B31">
        <v>0.1</v>
      </c>
      <c r="C31">
        <v>128</v>
      </c>
      <c r="D31" t="b">
        <v>0</v>
      </c>
      <c r="E31" t="s">
        <v>547</v>
      </c>
      <c r="F31" t="s">
        <v>532</v>
      </c>
      <c r="G31" t="s">
        <v>3</v>
      </c>
      <c r="H31">
        <v>57</v>
      </c>
      <c r="I31">
        <v>0.77759999999999996</v>
      </c>
      <c r="J31">
        <v>0.76659999999999995</v>
      </c>
      <c r="K31">
        <v>1.6868000000000001</v>
      </c>
      <c r="L31">
        <v>0.55349999999999999</v>
      </c>
    </row>
    <row r="32" spans="1:12">
      <c r="A32" t="s">
        <v>556</v>
      </c>
      <c r="B32">
        <v>0.3</v>
      </c>
      <c r="C32">
        <v>64</v>
      </c>
      <c r="D32" t="b">
        <v>0</v>
      </c>
      <c r="E32" t="s">
        <v>547</v>
      </c>
      <c r="F32" t="s">
        <v>532</v>
      </c>
      <c r="G32" t="s">
        <v>2</v>
      </c>
      <c r="H32">
        <v>33</v>
      </c>
      <c r="I32">
        <v>1.0881000000000001</v>
      </c>
      <c r="J32">
        <v>0.68049999999999999</v>
      </c>
      <c r="K32">
        <v>1.6950000000000001</v>
      </c>
      <c r="L32">
        <v>0.55349999999999999</v>
      </c>
    </row>
    <row r="33" spans="1:12">
      <c r="A33" t="s">
        <v>556</v>
      </c>
      <c r="B33">
        <v>0.5</v>
      </c>
      <c r="C33">
        <v>128</v>
      </c>
      <c r="D33" t="b">
        <v>0</v>
      </c>
      <c r="E33" t="s">
        <v>547</v>
      </c>
      <c r="F33" t="s">
        <v>531</v>
      </c>
      <c r="G33" t="s">
        <v>3</v>
      </c>
      <c r="H33">
        <v>62</v>
      </c>
      <c r="I33">
        <v>0.37640000000000001</v>
      </c>
      <c r="J33">
        <v>0.88719999999999999</v>
      </c>
      <c r="K33">
        <v>1.8843000000000001</v>
      </c>
      <c r="L33">
        <v>0.55349999999999999</v>
      </c>
    </row>
    <row r="34" spans="1:12">
      <c r="A34" t="s">
        <v>556</v>
      </c>
      <c r="B34">
        <v>0.1</v>
      </c>
      <c r="C34">
        <v>64</v>
      </c>
      <c r="D34" t="b">
        <v>0</v>
      </c>
      <c r="E34" t="s">
        <v>547</v>
      </c>
      <c r="F34" t="s">
        <v>532</v>
      </c>
      <c r="G34" t="s">
        <v>4</v>
      </c>
      <c r="H34">
        <v>33</v>
      </c>
      <c r="I34">
        <v>0.81630000000000003</v>
      </c>
      <c r="J34">
        <v>0.76370000000000005</v>
      </c>
      <c r="K34">
        <v>1.7</v>
      </c>
      <c r="L34">
        <v>0.55300000000000005</v>
      </c>
    </row>
    <row r="35" spans="1:12">
      <c r="A35" t="s">
        <v>556</v>
      </c>
      <c r="B35">
        <v>0.1</v>
      </c>
      <c r="C35">
        <v>128</v>
      </c>
      <c r="D35" t="b">
        <v>0</v>
      </c>
      <c r="E35" t="s">
        <v>548</v>
      </c>
      <c r="F35" t="s">
        <v>532</v>
      </c>
      <c r="G35" t="s">
        <v>0</v>
      </c>
      <c r="H35">
        <v>57</v>
      </c>
      <c r="I35">
        <v>0.76290000000000002</v>
      </c>
      <c r="J35">
        <v>0.76970000000000005</v>
      </c>
      <c r="K35">
        <v>1.7017</v>
      </c>
      <c r="L35">
        <v>0.55300000000000005</v>
      </c>
    </row>
    <row r="36" spans="1:12">
      <c r="A36" t="s">
        <v>556</v>
      </c>
      <c r="B36">
        <v>0.1</v>
      </c>
      <c r="C36">
        <v>128</v>
      </c>
      <c r="D36" t="b">
        <v>0</v>
      </c>
      <c r="E36" t="s">
        <v>547</v>
      </c>
      <c r="F36" t="s">
        <v>532</v>
      </c>
      <c r="G36" t="s">
        <v>5</v>
      </c>
      <c r="H36">
        <v>56</v>
      </c>
      <c r="I36">
        <v>0.67620000000000002</v>
      </c>
      <c r="J36">
        <v>0.80330000000000001</v>
      </c>
      <c r="K36">
        <v>1.742</v>
      </c>
      <c r="L36">
        <v>0.55300000000000005</v>
      </c>
    </row>
    <row r="37" spans="1:12">
      <c r="A37" t="s">
        <v>556</v>
      </c>
      <c r="B37">
        <v>0.3</v>
      </c>
      <c r="C37">
        <v>128</v>
      </c>
      <c r="D37" t="b">
        <v>0</v>
      </c>
      <c r="E37" t="s">
        <v>548</v>
      </c>
      <c r="F37" t="s">
        <v>532</v>
      </c>
      <c r="G37" t="s">
        <v>0</v>
      </c>
      <c r="H37">
        <v>58</v>
      </c>
      <c r="I37">
        <v>0.86329999999999996</v>
      </c>
      <c r="J37">
        <v>0.74280000000000002</v>
      </c>
      <c r="K37">
        <v>1.7229000000000001</v>
      </c>
      <c r="L37">
        <v>0.55300000000000005</v>
      </c>
    </row>
    <row r="38" spans="1:12">
      <c r="A38" t="s">
        <v>556</v>
      </c>
      <c r="B38">
        <v>0.5</v>
      </c>
      <c r="C38">
        <v>256</v>
      </c>
      <c r="D38" t="b">
        <v>0</v>
      </c>
      <c r="E38" t="s">
        <v>547</v>
      </c>
      <c r="F38" t="s">
        <v>531</v>
      </c>
      <c r="G38" t="s">
        <v>4</v>
      </c>
      <c r="H38">
        <v>119</v>
      </c>
      <c r="I38">
        <v>0.2913</v>
      </c>
      <c r="J38">
        <v>0.91539999999999999</v>
      </c>
      <c r="K38">
        <v>1.9677</v>
      </c>
      <c r="L38">
        <v>0.55300000000000005</v>
      </c>
    </row>
    <row r="39" spans="1:12">
      <c r="A39" t="s">
        <v>556</v>
      </c>
      <c r="B39">
        <v>0.5</v>
      </c>
      <c r="C39">
        <v>128</v>
      </c>
      <c r="D39" t="b">
        <v>0</v>
      </c>
      <c r="E39" t="s">
        <v>547</v>
      </c>
      <c r="F39" t="s">
        <v>532</v>
      </c>
      <c r="G39" t="s">
        <v>2</v>
      </c>
      <c r="H39">
        <v>61</v>
      </c>
      <c r="I39">
        <v>1.1060000000000001</v>
      </c>
      <c r="J39">
        <v>0.67279999999999995</v>
      </c>
      <c r="K39">
        <v>1.6292</v>
      </c>
      <c r="L39">
        <v>0.55249999999999999</v>
      </c>
    </row>
    <row r="40" spans="1:12">
      <c r="A40" t="s">
        <v>556</v>
      </c>
      <c r="B40">
        <v>0.5</v>
      </c>
      <c r="C40">
        <v>128</v>
      </c>
      <c r="D40" t="b">
        <v>0</v>
      </c>
      <c r="E40" t="s">
        <v>547</v>
      </c>
      <c r="F40" t="s">
        <v>532</v>
      </c>
      <c r="G40" t="s">
        <v>5</v>
      </c>
      <c r="H40">
        <v>61</v>
      </c>
      <c r="I40">
        <v>0.95069999999999999</v>
      </c>
      <c r="J40">
        <v>0.71630000000000005</v>
      </c>
      <c r="K40">
        <v>1.6247</v>
      </c>
      <c r="L40">
        <v>0.55249999999999999</v>
      </c>
    </row>
    <row r="41" spans="1:12">
      <c r="A41" t="s">
        <v>556</v>
      </c>
      <c r="B41">
        <v>0.3</v>
      </c>
      <c r="C41">
        <v>128</v>
      </c>
      <c r="D41" t="b">
        <v>0</v>
      </c>
      <c r="E41" t="s">
        <v>547</v>
      </c>
      <c r="F41" t="s">
        <v>532</v>
      </c>
      <c r="G41" t="s">
        <v>4</v>
      </c>
      <c r="H41">
        <v>64</v>
      </c>
      <c r="I41">
        <v>0.80859999999999999</v>
      </c>
      <c r="J41">
        <v>0.76749999999999996</v>
      </c>
      <c r="K41">
        <v>1.6738999999999999</v>
      </c>
      <c r="L41">
        <v>0.55200000000000005</v>
      </c>
    </row>
    <row r="42" spans="1:12">
      <c r="A42" t="s">
        <v>556</v>
      </c>
      <c r="B42">
        <v>0.3</v>
      </c>
      <c r="C42">
        <v>256</v>
      </c>
      <c r="D42" t="b">
        <v>0</v>
      </c>
      <c r="E42" t="s">
        <v>548</v>
      </c>
      <c r="F42" t="s">
        <v>532</v>
      </c>
      <c r="G42" t="s">
        <v>4</v>
      </c>
      <c r="H42">
        <v>114</v>
      </c>
      <c r="I42">
        <v>0.57650000000000001</v>
      </c>
      <c r="J42">
        <v>0.82289999999999996</v>
      </c>
      <c r="K42">
        <v>1.7890999999999999</v>
      </c>
      <c r="L42">
        <v>0.55200000000000005</v>
      </c>
    </row>
    <row r="43" spans="1:12">
      <c r="A43" t="s">
        <v>556</v>
      </c>
      <c r="B43">
        <v>0.5</v>
      </c>
      <c r="C43">
        <v>256</v>
      </c>
      <c r="D43" t="b">
        <v>0</v>
      </c>
      <c r="E43" t="s">
        <v>547</v>
      </c>
      <c r="F43" t="s">
        <v>532</v>
      </c>
      <c r="G43" t="s">
        <v>4</v>
      </c>
      <c r="H43">
        <v>120</v>
      </c>
      <c r="I43">
        <v>0.92490000000000006</v>
      </c>
      <c r="J43">
        <v>0.72360000000000002</v>
      </c>
      <c r="K43">
        <v>1.6735</v>
      </c>
      <c r="L43">
        <v>0.55200000000000005</v>
      </c>
    </row>
    <row r="44" spans="1:12">
      <c r="A44" t="s">
        <v>556</v>
      </c>
      <c r="B44">
        <v>0.1</v>
      </c>
      <c r="C44">
        <v>128</v>
      </c>
      <c r="D44" t="b">
        <v>0</v>
      </c>
      <c r="E44" t="s">
        <v>547</v>
      </c>
      <c r="F44" t="s">
        <v>532</v>
      </c>
      <c r="G44" t="s">
        <v>0</v>
      </c>
      <c r="H44">
        <v>56</v>
      </c>
      <c r="I44">
        <v>1.0094000000000001</v>
      </c>
      <c r="J44">
        <v>0.69910000000000005</v>
      </c>
      <c r="K44">
        <v>1.6055999999999999</v>
      </c>
      <c r="L44">
        <v>0.55149999999999999</v>
      </c>
    </row>
    <row r="45" spans="1:12">
      <c r="A45" t="s">
        <v>556</v>
      </c>
      <c r="B45">
        <v>0.1</v>
      </c>
      <c r="C45">
        <v>256</v>
      </c>
      <c r="D45" t="b">
        <v>0</v>
      </c>
      <c r="E45" t="s">
        <v>547</v>
      </c>
      <c r="F45" t="s">
        <v>532</v>
      </c>
      <c r="G45" t="s">
        <v>0</v>
      </c>
      <c r="H45">
        <v>129</v>
      </c>
      <c r="I45">
        <v>0.9204</v>
      </c>
      <c r="J45">
        <v>0.72640000000000005</v>
      </c>
      <c r="K45">
        <v>1.7137</v>
      </c>
      <c r="L45">
        <v>0.55149999999999999</v>
      </c>
    </row>
    <row r="46" spans="1:12">
      <c r="A46" t="s">
        <v>556</v>
      </c>
      <c r="B46">
        <v>0.3</v>
      </c>
      <c r="C46">
        <v>256</v>
      </c>
      <c r="D46" t="b">
        <v>0</v>
      </c>
      <c r="E46" t="s">
        <v>547</v>
      </c>
      <c r="F46" t="s">
        <v>532</v>
      </c>
      <c r="G46" t="s">
        <v>0</v>
      </c>
      <c r="H46">
        <v>119</v>
      </c>
      <c r="I46">
        <v>1.0432999999999999</v>
      </c>
      <c r="J46">
        <v>0.68559999999999999</v>
      </c>
      <c r="K46">
        <v>1.6733</v>
      </c>
      <c r="L46">
        <v>0.55149999999999999</v>
      </c>
    </row>
    <row r="47" spans="1:12">
      <c r="A47" t="s">
        <v>556</v>
      </c>
      <c r="B47">
        <v>0.5</v>
      </c>
      <c r="C47">
        <v>128</v>
      </c>
      <c r="D47" t="b">
        <v>0</v>
      </c>
      <c r="E47" t="s">
        <v>547</v>
      </c>
      <c r="F47" t="s">
        <v>531</v>
      </c>
      <c r="G47" t="s">
        <v>4</v>
      </c>
      <c r="H47">
        <v>61</v>
      </c>
      <c r="I47">
        <v>0.33789999999999998</v>
      </c>
      <c r="J47">
        <v>0.90290000000000004</v>
      </c>
      <c r="K47">
        <v>1.9470000000000001</v>
      </c>
      <c r="L47">
        <v>0.55149999999999999</v>
      </c>
    </row>
    <row r="48" spans="1:12">
      <c r="A48" t="s">
        <v>556</v>
      </c>
      <c r="B48">
        <v>0.5</v>
      </c>
      <c r="C48">
        <v>256</v>
      </c>
      <c r="D48" t="b">
        <v>0</v>
      </c>
      <c r="E48" t="s">
        <v>548</v>
      </c>
      <c r="F48" t="s">
        <v>532</v>
      </c>
      <c r="G48" t="s">
        <v>3</v>
      </c>
      <c r="H48">
        <v>115</v>
      </c>
      <c r="I48">
        <v>0.83020000000000005</v>
      </c>
      <c r="J48">
        <v>0.74919999999999998</v>
      </c>
      <c r="K48">
        <v>1.704</v>
      </c>
      <c r="L48">
        <v>0.55149999999999999</v>
      </c>
    </row>
    <row r="49" spans="1:12">
      <c r="A49" t="s">
        <v>556</v>
      </c>
      <c r="B49">
        <v>0.1</v>
      </c>
      <c r="C49">
        <v>128</v>
      </c>
      <c r="D49" t="b">
        <v>0</v>
      </c>
      <c r="E49" t="s">
        <v>547</v>
      </c>
      <c r="F49" t="s">
        <v>531</v>
      </c>
      <c r="G49" t="s">
        <v>0</v>
      </c>
      <c r="H49">
        <v>62</v>
      </c>
      <c r="I49">
        <v>0.29959999999999998</v>
      </c>
      <c r="J49">
        <v>0.91459999999999997</v>
      </c>
      <c r="K49">
        <v>1.9540999999999999</v>
      </c>
      <c r="L49">
        <v>0.55100000000000005</v>
      </c>
    </row>
    <row r="50" spans="1:12">
      <c r="A50" t="s">
        <v>556</v>
      </c>
      <c r="B50">
        <v>0.3</v>
      </c>
      <c r="C50">
        <v>128</v>
      </c>
      <c r="D50" t="b">
        <v>0</v>
      </c>
      <c r="E50" t="s">
        <v>547</v>
      </c>
      <c r="F50" t="s">
        <v>532</v>
      </c>
      <c r="G50" t="s">
        <v>5</v>
      </c>
      <c r="H50">
        <v>62</v>
      </c>
      <c r="I50">
        <v>0.75249999999999995</v>
      </c>
      <c r="J50">
        <v>0.78100000000000003</v>
      </c>
      <c r="K50">
        <v>1.7115</v>
      </c>
      <c r="L50">
        <v>0.55100000000000005</v>
      </c>
    </row>
    <row r="51" spans="1:12">
      <c r="A51" t="s">
        <v>556</v>
      </c>
      <c r="B51">
        <v>0.5</v>
      </c>
      <c r="C51">
        <v>256</v>
      </c>
      <c r="D51" t="b">
        <v>0</v>
      </c>
      <c r="E51" t="s">
        <v>547</v>
      </c>
      <c r="F51" t="s">
        <v>531</v>
      </c>
      <c r="G51" t="s">
        <v>3</v>
      </c>
      <c r="H51">
        <v>119</v>
      </c>
      <c r="I51">
        <v>0.31319999999999998</v>
      </c>
      <c r="J51">
        <v>0.90900000000000003</v>
      </c>
      <c r="K51">
        <v>1.9819</v>
      </c>
      <c r="L51">
        <v>0.55100000000000005</v>
      </c>
    </row>
    <row r="52" spans="1:12">
      <c r="A52" t="s">
        <v>556</v>
      </c>
      <c r="B52">
        <v>0.5</v>
      </c>
      <c r="C52">
        <v>256</v>
      </c>
      <c r="D52" t="b">
        <v>0</v>
      </c>
      <c r="E52" t="s">
        <v>548</v>
      </c>
      <c r="F52" t="s">
        <v>532</v>
      </c>
      <c r="G52" t="s">
        <v>0</v>
      </c>
      <c r="H52">
        <v>116</v>
      </c>
      <c r="I52">
        <v>1.0350999999999999</v>
      </c>
      <c r="J52">
        <v>0.68789999999999996</v>
      </c>
      <c r="K52">
        <v>1.6573</v>
      </c>
      <c r="L52">
        <v>0.55000000000000004</v>
      </c>
    </row>
    <row r="53" spans="1:12">
      <c r="A53" t="s">
        <v>556</v>
      </c>
      <c r="B53">
        <v>0.5</v>
      </c>
      <c r="C53">
        <v>256</v>
      </c>
      <c r="D53" t="b">
        <v>0</v>
      </c>
      <c r="E53" t="s">
        <v>547</v>
      </c>
      <c r="F53" t="s">
        <v>532</v>
      </c>
      <c r="G53" t="s">
        <v>0</v>
      </c>
      <c r="H53">
        <v>120</v>
      </c>
      <c r="I53">
        <v>1.1919</v>
      </c>
      <c r="J53">
        <v>0.64219999999999999</v>
      </c>
      <c r="K53">
        <v>1.6545000000000001</v>
      </c>
      <c r="L53">
        <v>0.55000000000000004</v>
      </c>
    </row>
    <row r="54" spans="1:12">
      <c r="A54" t="s">
        <v>556</v>
      </c>
      <c r="B54">
        <v>0.1</v>
      </c>
      <c r="C54">
        <v>256</v>
      </c>
      <c r="D54" t="b">
        <v>0</v>
      </c>
      <c r="E54" t="s">
        <v>547</v>
      </c>
      <c r="F54" t="s">
        <v>532</v>
      </c>
      <c r="G54" t="s">
        <v>3</v>
      </c>
      <c r="H54">
        <v>127</v>
      </c>
      <c r="I54">
        <v>0.68810000000000004</v>
      </c>
      <c r="J54">
        <v>0.79600000000000004</v>
      </c>
      <c r="K54">
        <v>1.7422</v>
      </c>
      <c r="L54">
        <v>0.54949999999999999</v>
      </c>
    </row>
    <row r="55" spans="1:12">
      <c r="A55" t="s">
        <v>556</v>
      </c>
      <c r="B55">
        <v>0.5</v>
      </c>
      <c r="C55">
        <v>128</v>
      </c>
      <c r="D55" t="b">
        <v>0</v>
      </c>
      <c r="E55" t="s">
        <v>548</v>
      </c>
      <c r="F55" t="s">
        <v>532</v>
      </c>
      <c r="G55" t="s">
        <v>3</v>
      </c>
      <c r="H55">
        <v>58</v>
      </c>
      <c r="I55">
        <v>0.83930000000000005</v>
      </c>
      <c r="J55">
        <v>0.74939999999999996</v>
      </c>
      <c r="K55">
        <v>1.7178</v>
      </c>
      <c r="L55">
        <v>0.54949999999999999</v>
      </c>
    </row>
    <row r="56" spans="1:12">
      <c r="A56" t="s">
        <v>556</v>
      </c>
      <c r="B56">
        <v>0.5</v>
      </c>
      <c r="C56">
        <v>256</v>
      </c>
      <c r="D56" t="b">
        <v>0</v>
      </c>
      <c r="E56" t="s">
        <v>548</v>
      </c>
      <c r="F56" t="s">
        <v>531</v>
      </c>
      <c r="G56" t="s">
        <v>2</v>
      </c>
      <c r="H56">
        <v>117</v>
      </c>
      <c r="I56">
        <v>0.30769999999999997</v>
      </c>
      <c r="J56">
        <v>0.90710000000000002</v>
      </c>
      <c r="K56">
        <v>1.8931</v>
      </c>
      <c r="L56">
        <v>0.54949999999999999</v>
      </c>
    </row>
    <row r="57" spans="1:12">
      <c r="A57" t="s">
        <v>556</v>
      </c>
      <c r="B57">
        <v>0.5</v>
      </c>
      <c r="C57">
        <v>128</v>
      </c>
      <c r="D57" t="b">
        <v>0</v>
      </c>
      <c r="E57" t="s">
        <v>547</v>
      </c>
      <c r="F57" t="s">
        <v>532</v>
      </c>
      <c r="G57" t="s">
        <v>4</v>
      </c>
      <c r="H57">
        <v>61</v>
      </c>
      <c r="I57">
        <v>1.0021</v>
      </c>
      <c r="J57">
        <v>0.70689999999999997</v>
      </c>
      <c r="K57">
        <v>1.6754</v>
      </c>
      <c r="L57">
        <v>0.54900000000000004</v>
      </c>
    </row>
    <row r="58" spans="1:12">
      <c r="A58" t="s">
        <v>556</v>
      </c>
      <c r="B58">
        <v>0.5</v>
      </c>
      <c r="C58">
        <v>256</v>
      </c>
      <c r="D58" t="b">
        <v>0</v>
      </c>
      <c r="E58" t="s">
        <v>547</v>
      </c>
      <c r="F58" t="s">
        <v>532</v>
      </c>
      <c r="G58" t="s">
        <v>1</v>
      </c>
      <c r="H58">
        <v>120</v>
      </c>
      <c r="I58">
        <v>1.1079000000000001</v>
      </c>
      <c r="J58">
        <v>0.66959999999999997</v>
      </c>
      <c r="K58">
        <v>1.6716</v>
      </c>
      <c r="L58">
        <v>0.54900000000000004</v>
      </c>
    </row>
    <row r="59" spans="1:12">
      <c r="A59" t="s">
        <v>556</v>
      </c>
      <c r="B59">
        <v>0.1</v>
      </c>
      <c r="C59">
        <v>256</v>
      </c>
      <c r="D59" t="b">
        <v>0</v>
      </c>
      <c r="E59" t="s">
        <v>547</v>
      </c>
      <c r="F59" t="s">
        <v>532</v>
      </c>
      <c r="G59" t="s">
        <v>1</v>
      </c>
      <c r="H59">
        <v>165</v>
      </c>
      <c r="I59">
        <v>0.8286</v>
      </c>
      <c r="J59">
        <v>0.75260000000000005</v>
      </c>
      <c r="K59">
        <v>1.6798</v>
      </c>
      <c r="L59">
        <v>0.54849999999999999</v>
      </c>
    </row>
    <row r="60" spans="1:12">
      <c r="A60" t="s">
        <v>556</v>
      </c>
      <c r="B60">
        <v>0.3</v>
      </c>
      <c r="C60">
        <v>64</v>
      </c>
      <c r="D60" t="b">
        <v>0</v>
      </c>
      <c r="E60" t="s">
        <v>547</v>
      </c>
      <c r="F60" t="s">
        <v>532</v>
      </c>
      <c r="G60" t="s">
        <v>1</v>
      </c>
      <c r="H60">
        <v>33</v>
      </c>
      <c r="I60">
        <v>1.1728000000000001</v>
      </c>
      <c r="J60">
        <v>0.65049999999999997</v>
      </c>
      <c r="K60">
        <v>1.6947000000000001</v>
      </c>
      <c r="L60">
        <v>0.54849999999999999</v>
      </c>
    </row>
    <row r="61" spans="1:12">
      <c r="A61" t="s">
        <v>556</v>
      </c>
      <c r="B61">
        <v>0.1</v>
      </c>
      <c r="C61">
        <v>256</v>
      </c>
      <c r="D61" t="b">
        <v>0</v>
      </c>
      <c r="E61" t="s">
        <v>547</v>
      </c>
      <c r="F61" t="s">
        <v>532</v>
      </c>
      <c r="G61" t="s">
        <v>5</v>
      </c>
      <c r="H61">
        <v>122</v>
      </c>
      <c r="I61">
        <v>0.57799999999999996</v>
      </c>
      <c r="J61">
        <v>0.82909999999999995</v>
      </c>
      <c r="K61">
        <v>1.8250999999999999</v>
      </c>
      <c r="L61">
        <v>0.54800000000000004</v>
      </c>
    </row>
    <row r="62" spans="1:12">
      <c r="A62" t="s">
        <v>556</v>
      </c>
      <c r="B62">
        <v>0.5</v>
      </c>
      <c r="C62">
        <v>64</v>
      </c>
      <c r="D62" t="b">
        <v>0</v>
      </c>
      <c r="E62" t="s">
        <v>548</v>
      </c>
      <c r="F62" t="s">
        <v>532</v>
      </c>
      <c r="G62" t="s">
        <v>3</v>
      </c>
      <c r="H62">
        <v>36</v>
      </c>
      <c r="I62">
        <v>0.95050000000000001</v>
      </c>
      <c r="J62">
        <v>0.71919999999999995</v>
      </c>
      <c r="K62">
        <v>1.7415</v>
      </c>
      <c r="L62">
        <v>0.54800000000000004</v>
      </c>
    </row>
    <row r="63" spans="1:12">
      <c r="A63" t="s">
        <v>556</v>
      </c>
      <c r="B63">
        <v>0.1</v>
      </c>
      <c r="C63">
        <v>128</v>
      </c>
      <c r="D63" t="b">
        <v>0</v>
      </c>
      <c r="E63" t="s">
        <v>547</v>
      </c>
      <c r="F63" t="s">
        <v>532</v>
      </c>
      <c r="G63" t="s">
        <v>4</v>
      </c>
      <c r="H63">
        <v>56</v>
      </c>
      <c r="I63">
        <v>0.72</v>
      </c>
      <c r="J63">
        <v>0.79100000000000004</v>
      </c>
      <c r="K63">
        <v>1.7188000000000001</v>
      </c>
      <c r="L63">
        <v>0.54749999999999999</v>
      </c>
    </row>
    <row r="64" spans="1:12">
      <c r="A64" t="s">
        <v>556</v>
      </c>
      <c r="B64">
        <v>0.1</v>
      </c>
      <c r="C64">
        <v>256</v>
      </c>
      <c r="D64" t="b">
        <v>0</v>
      </c>
      <c r="E64" t="s">
        <v>548</v>
      </c>
      <c r="F64" t="s">
        <v>532</v>
      </c>
      <c r="G64" t="s">
        <v>5</v>
      </c>
      <c r="H64">
        <v>117</v>
      </c>
      <c r="I64">
        <v>0.43869999999999998</v>
      </c>
      <c r="J64">
        <v>0.87170000000000003</v>
      </c>
      <c r="K64">
        <v>1.8755999999999999</v>
      </c>
      <c r="L64">
        <v>0.54749999999999999</v>
      </c>
    </row>
    <row r="65" spans="1:12">
      <c r="A65" t="s">
        <v>556</v>
      </c>
      <c r="B65">
        <v>0.3</v>
      </c>
      <c r="C65">
        <v>128</v>
      </c>
      <c r="D65" t="b">
        <v>0</v>
      </c>
      <c r="E65" t="s">
        <v>548</v>
      </c>
      <c r="F65" t="s">
        <v>532</v>
      </c>
      <c r="G65" t="s">
        <v>1</v>
      </c>
      <c r="H65">
        <v>58</v>
      </c>
      <c r="I65">
        <v>0.79490000000000005</v>
      </c>
      <c r="J65">
        <v>0.76439999999999997</v>
      </c>
      <c r="K65">
        <v>1.7451000000000001</v>
      </c>
      <c r="L65">
        <v>0.54749999999999999</v>
      </c>
    </row>
    <row r="66" spans="1:12">
      <c r="A66" t="s">
        <v>556</v>
      </c>
      <c r="B66">
        <v>0.3</v>
      </c>
      <c r="C66">
        <v>256</v>
      </c>
      <c r="D66" t="b">
        <v>0</v>
      </c>
      <c r="E66" t="s">
        <v>547</v>
      </c>
      <c r="F66" t="s">
        <v>531</v>
      </c>
      <c r="G66" t="s">
        <v>1</v>
      </c>
      <c r="H66">
        <v>120</v>
      </c>
      <c r="I66">
        <v>0.28079999999999999</v>
      </c>
      <c r="J66">
        <v>0.91649999999999998</v>
      </c>
      <c r="K66">
        <v>1.9462999999999999</v>
      </c>
      <c r="L66">
        <v>0.54700000000000004</v>
      </c>
    </row>
    <row r="67" spans="1:12">
      <c r="A67" t="s">
        <v>556</v>
      </c>
      <c r="B67">
        <v>0.5</v>
      </c>
      <c r="C67">
        <v>256</v>
      </c>
      <c r="D67" t="b">
        <v>0</v>
      </c>
      <c r="E67" t="s">
        <v>548</v>
      </c>
      <c r="F67" t="s">
        <v>531</v>
      </c>
      <c r="G67" t="s">
        <v>0</v>
      </c>
      <c r="H67">
        <v>116</v>
      </c>
      <c r="I67">
        <v>0.39350000000000002</v>
      </c>
      <c r="J67">
        <v>0.88339999999999996</v>
      </c>
      <c r="K67">
        <v>1.8731</v>
      </c>
      <c r="L67">
        <v>0.54700000000000004</v>
      </c>
    </row>
    <row r="68" spans="1:12">
      <c r="A68" t="s">
        <v>556</v>
      </c>
      <c r="B68">
        <v>0.5</v>
      </c>
      <c r="C68">
        <v>256</v>
      </c>
      <c r="D68" t="b">
        <v>0</v>
      </c>
      <c r="E68" t="s">
        <v>548</v>
      </c>
      <c r="F68" t="s">
        <v>531</v>
      </c>
      <c r="G68" t="s">
        <v>4</v>
      </c>
      <c r="H68">
        <v>117</v>
      </c>
      <c r="I68">
        <v>0.24610000000000001</v>
      </c>
      <c r="J68">
        <v>0.92889999999999995</v>
      </c>
      <c r="K68">
        <v>2.0402</v>
      </c>
      <c r="L68">
        <v>0.54700000000000004</v>
      </c>
    </row>
    <row r="69" spans="1:12">
      <c r="A69" t="s">
        <v>556</v>
      </c>
      <c r="B69">
        <v>0.3</v>
      </c>
      <c r="C69">
        <v>128</v>
      </c>
      <c r="D69" t="b">
        <v>0</v>
      </c>
      <c r="E69" t="s">
        <v>548</v>
      </c>
      <c r="F69" t="s">
        <v>532</v>
      </c>
      <c r="G69" t="s">
        <v>4</v>
      </c>
      <c r="H69">
        <v>58</v>
      </c>
      <c r="I69">
        <v>0.60550000000000004</v>
      </c>
      <c r="J69">
        <v>0.8165</v>
      </c>
      <c r="K69">
        <v>1.8372999999999999</v>
      </c>
      <c r="L69">
        <v>0.54649999999999999</v>
      </c>
    </row>
    <row r="70" spans="1:12">
      <c r="A70" t="s">
        <v>556</v>
      </c>
      <c r="B70">
        <v>0.3</v>
      </c>
      <c r="C70">
        <v>256</v>
      </c>
      <c r="D70" t="b">
        <v>0</v>
      </c>
      <c r="E70" t="s">
        <v>547</v>
      </c>
      <c r="F70" t="s">
        <v>531</v>
      </c>
      <c r="G70" t="s">
        <v>5</v>
      </c>
      <c r="H70">
        <v>120</v>
      </c>
      <c r="I70">
        <v>0.1706</v>
      </c>
      <c r="J70">
        <v>0.94910000000000005</v>
      </c>
      <c r="K70">
        <v>2.2113</v>
      </c>
      <c r="L70">
        <v>0.54649999999999999</v>
      </c>
    </row>
    <row r="71" spans="1:12">
      <c r="A71" t="s">
        <v>556</v>
      </c>
      <c r="B71">
        <v>0.5</v>
      </c>
      <c r="C71">
        <v>64</v>
      </c>
      <c r="D71" t="b">
        <v>0</v>
      </c>
      <c r="E71" t="s">
        <v>548</v>
      </c>
      <c r="F71" t="s">
        <v>532</v>
      </c>
      <c r="G71" t="s">
        <v>2</v>
      </c>
      <c r="H71">
        <v>36</v>
      </c>
      <c r="I71">
        <v>1.0039</v>
      </c>
      <c r="J71">
        <v>0.69850000000000001</v>
      </c>
      <c r="K71">
        <v>1.7250000000000001</v>
      </c>
      <c r="L71">
        <v>0.54649999999999999</v>
      </c>
    </row>
    <row r="72" spans="1:12">
      <c r="A72" t="s">
        <v>556</v>
      </c>
      <c r="B72">
        <v>0.5</v>
      </c>
      <c r="C72">
        <v>64</v>
      </c>
      <c r="D72" t="b">
        <v>0</v>
      </c>
      <c r="E72" t="s">
        <v>548</v>
      </c>
      <c r="F72" t="s">
        <v>532</v>
      </c>
      <c r="G72" t="s">
        <v>5</v>
      </c>
      <c r="H72">
        <v>36</v>
      </c>
      <c r="I72">
        <v>0.84279999999999999</v>
      </c>
      <c r="J72">
        <v>0.75209999999999999</v>
      </c>
      <c r="K72">
        <v>1.7807999999999999</v>
      </c>
      <c r="L72">
        <v>0.54649999999999999</v>
      </c>
    </row>
    <row r="73" spans="1:12">
      <c r="A73" t="s">
        <v>556</v>
      </c>
      <c r="B73">
        <v>0.5</v>
      </c>
      <c r="C73">
        <v>64</v>
      </c>
      <c r="D73" t="b">
        <v>0</v>
      </c>
      <c r="E73" t="s">
        <v>547</v>
      </c>
      <c r="F73" t="s">
        <v>531</v>
      </c>
      <c r="G73" t="s">
        <v>4</v>
      </c>
      <c r="H73">
        <v>38</v>
      </c>
      <c r="I73">
        <v>0.3952</v>
      </c>
      <c r="J73">
        <v>0.88700000000000001</v>
      </c>
      <c r="K73">
        <v>1.9711000000000001</v>
      </c>
      <c r="L73">
        <v>0.54649999999999999</v>
      </c>
    </row>
    <row r="74" spans="1:12">
      <c r="A74" t="s">
        <v>556</v>
      </c>
      <c r="B74">
        <v>0.5</v>
      </c>
      <c r="C74">
        <v>64</v>
      </c>
      <c r="D74" t="b">
        <v>0</v>
      </c>
      <c r="E74" t="s">
        <v>547</v>
      </c>
      <c r="F74" t="s">
        <v>532</v>
      </c>
      <c r="G74" t="s">
        <v>3</v>
      </c>
      <c r="H74">
        <v>39</v>
      </c>
      <c r="I74">
        <v>1.1850000000000001</v>
      </c>
      <c r="J74">
        <v>0.64449999999999996</v>
      </c>
      <c r="K74">
        <v>1.6915</v>
      </c>
      <c r="L74">
        <v>0.54649999999999999</v>
      </c>
    </row>
    <row r="75" spans="1:12">
      <c r="A75" t="s">
        <v>556</v>
      </c>
      <c r="B75">
        <v>0.5</v>
      </c>
      <c r="C75">
        <v>128</v>
      </c>
      <c r="D75" t="b">
        <v>0</v>
      </c>
      <c r="E75" t="s">
        <v>547</v>
      </c>
      <c r="F75" t="s">
        <v>531</v>
      </c>
      <c r="G75" t="s">
        <v>2</v>
      </c>
      <c r="H75">
        <v>61</v>
      </c>
      <c r="I75">
        <v>0.41399999999999998</v>
      </c>
      <c r="J75">
        <v>0.87549999999999994</v>
      </c>
      <c r="K75">
        <v>1.8562000000000001</v>
      </c>
      <c r="L75">
        <v>0.54649999999999999</v>
      </c>
    </row>
    <row r="76" spans="1:12">
      <c r="A76" t="s">
        <v>556</v>
      </c>
      <c r="B76">
        <v>0.5</v>
      </c>
      <c r="C76">
        <v>256</v>
      </c>
      <c r="D76" t="b">
        <v>0</v>
      </c>
      <c r="E76" t="s">
        <v>547</v>
      </c>
      <c r="F76" t="s">
        <v>531</v>
      </c>
      <c r="G76" t="s">
        <v>1</v>
      </c>
      <c r="H76">
        <v>119</v>
      </c>
      <c r="I76">
        <v>0.40279999999999999</v>
      </c>
      <c r="J76">
        <v>0.88080000000000003</v>
      </c>
      <c r="K76">
        <v>1.8489</v>
      </c>
      <c r="L76">
        <v>0.54649999999999999</v>
      </c>
    </row>
    <row r="77" spans="1:12">
      <c r="A77" t="s">
        <v>556</v>
      </c>
      <c r="B77">
        <v>0.1</v>
      </c>
      <c r="C77">
        <v>256</v>
      </c>
      <c r="D77" t="b">
        <v>0</v>
      </c>
      <c r="E77" t="s">
        <v>547</v>
      </c>
      <c r="F77" t="s">
        <v>532</v>
      </c>
      <c r="G77" t="s">
        <v>2</v>
      </c>
      <c r="H77">
        <v>146</v>
      </c>
      <c r="I77">
        <v>0.75190000000000001</v>
      </c>
      <c r="J77">
        <v>0.78390000000000004</v>
      </c>
      <c r="K77">
        <v>1.7270000000000001</v>
      </c>
      <c r="L77">
        <v>0.54600000000000004</v>
      </c>
    </row>
    <row r="78" spans="1:12">
      <c r="A78" t="s">
        <v>556</v>
      </c>
      <c r="B78">
        <v>0.3</v>
      </c>
      <c r="C78">
        <v>256</v>
      </c>
      <c r="D78" t="b">
        <v>0</v>
      </c>
      <c r="E78" t="s">
        <v>547</v>
      </c>
      <c r="F78" t="s">
        <v>531</v>
      </c>
      <c r="G78" t="s">
        <v>3</v>
      </c>
      <c r="H78">
        <v>119</v>
      </c>
      <c r="I78">
        <v>0.23499999999999999</v>
      </c>
      <c r="J78">
        <v>0.9325</v>
      </c>
      <c r="K78">
        <v>2.0960999999999999</v>
      </c>
      <c r="L78">
        <v>0.54600000000000004</v>
      </c>
    </row>
    <row r="79" spans="1:12">
      <c r="A79" t="s">
        <v>556</v>
      </c>
      <c r="B79">
        <v>0.5</v>
      </c>
      <c r="C79">
        <v>64</v>
      </c>
      <c r="D79" t="b">
        <v>0</v>
      </c>
      <c r="E79" t="s">
        <v>547</v>
      </c>
      <c r="F79" t="s">
        <v>532</v>
      </c>
      <c r="G79" t="s">
        <v>5</v>
      </c>
      <c r="H79">
        <v>39</v>
      </c>
      <c r="I79">
        <v>1.0564</v>
      </c>
      <c r="J79">
        <v>0.69089999999999996</v>
      </c>
      <c r="K79">
        <v>1.6901999999999999</v>
      </c>
      <c r="L79">
        <v>0.54600000000000004</v>
      </c>
    </row>
    <row r="80" spans="1:12">
      <c r="A80" t="s">
        <v>556</v>
      </c>
      <c r="B80">
        <v>0.1</v>
      </c>
      <c r="C80">
        <v>128</v>
      </c>
      <c r="D80" t="b">
        <v>0</v>
      </c>
      <c r="E80" t="s">
        <v>547</v>
      </c>
      <c r="F80" t="s">
        <v>532</v>
      </c>
      <c r="G80" t="s">
        <v>1</v>
      </c>
      <c r="H80">
        <v>56</v>
      </c>
      <c r="I80">
        <v>0.92720000000000002</v>
      </c>
      <c r="J80">
        <v>0.72689999999999999</v>
      </c>
      <c r="K80">
        <v>1.6867000000000001</v>
      </c>
      <c r="L80">
        <v>0.54549999999999998</v>
      </c>
    </row>
    <row r="81" spans="1:12">
      <c r="A81" t="s">
        <v>556</v>
      </c>
      <c r="B81">
        <v>0.3</v>
      </c>
      <c r="C81">
        <v>128</v>
      </c>
      <c r="D81" t="b">
        <v>0</v>
      </c>
      <c r="E81" t="s">
        <v>547</v>
      </c>
      <c r="F81" t="s">
        <v>531</v>
      </c>
      <c r="G81" t="s">
        <v>3</v>
      </c>
      <c r="H81">
        <v>63</v>
      </c>
      <c r="I81">
        <v>0.2298</v>
      </c>
      <c r="J81">
        <v>0.93340000000000001</v>
      </c>
      <c r="K81">
        <v>2.0817999999999999</v>
      </c>
      <c r="L81">
        <v>0.54549999999999998</v>
      </c>
    </row>
    <row r="82" spans="1:12">
      <c r="A82" t="s">
        <v>556</v>
      </c>
      <c r="B82">
        <v>0.3</v>
      </c>
      <c r="C82">
        <v>256</v>
      </c>
      <c r="D82" t="b">
        <v>0</v>
      </c>
      <c r="E82" t="s">
        <v>547</v>
      </c>
      <c r="F82" t="s">
        <v>532</v>
      </c>
      <c r="G82" t="s">
        <v>5</v>
      </c>
      <c r="H82">
        <v>120</v>
      </c>
      <c r="I82">
        <v>0.71299999999999997</v>
      </c>
      <c r="J82">
        <v>0.79110000000000003</v>
      </c>
      <c r="K82">
        <v>1.7148000000000001</v>
      </c>
      <c r="L82">
        <v>0.54549999999999998</v>
      </c>
    </row>
    <row r="83" spans="1:12">
      <c r="A83" t="s">
        <v>556</v>
      </c>
      <c r="B83">
        <v>0.5</v>
      </c>
      <c r="C83">
        <v>64</v>
      </c>
      <c r="D83" t="b">
        <v>0</v>
      </c>
      <c r="E83" t="s">
        <v>548</v>
      </c>
      <c r="F83" t="s">
        <v>532</v>
      </c>
      <c r="G83" t="s">
        <v>4</v>
      </c>
      <c r="H83">
        <v>36</v>
      </c>
      <c r="I83">
        <v>0.89859999999999995</v>
      </c>
      <c r="J83">
        <v>0.73460000000000003</v>
      </c>
      <c r="K83">
        <v>1.7366999999999999</v>
      </c>
      <c r="L83">
        <v>0.54549999999999998</v>
      </c>
    </row>
    <row r="84" spans="1:12">
      <c r="A84" t="s">
        <v>556</v>
      </c>
      <c r="B84">
        <v>0.5</v>
      </c>
      <c r="C84">
        <v>128</v>
      </c>
      <c r="D84" t="b">
        <v>0</v>
      </c>
      <c r="E84" t="s">
        <v>548</v>
      </c>
      <c r="F84" t="s">
        <v>531</v>
      </c>
      <c r="G84" t="s">
        <v>3</v>
      </c>
      <c r="H84">
        <v>59</v>
      </c>
      <c r="I84">
        <v>0.32440000000000002</v>
      </c>
      <c r="J84">
        <v>0.90439999999999998</v>
      </c>
      <c r="K84">
        <v>2.1166999999999998</v>
      </c>
      <c r="L84">
        <v>0.54549999999999998</v>
      </c>
    </row>
    <row r="85" spans="1:12">
      <c r="A85" t="s">
        <v>556</v>
      </c>
      <c r="B85">
        <v>0.5</v>
      </c>
      <c r="C85">
        <v>256</v>
      </c>
      <c r="D85" t="b">
        <v>0</v>
      </c>
      <c r="E85" t="s">
        <v>548</v>
      </c>
      <c r="F85" t="s">
        <v>531</v>
      </c>
      <c r="G85" t="s">
        <v>3</v>
      </c>
      <c r="H85">
        <v>117</v>
      </c>
      <c r="I85">
        <v>0.26150000000000001</v>
      </c>
      <c r="J85">
        <v>0.92110000000000003</v>
      </c>
      <c r="K85">
        <v>1.9630000000000001</v>
      </c>
      <c r="L85">
        <v>0.54549999999999998</v>
      </c>
    </row>
    <row r="86" spans="1:12">
      <c r="A86" t="s">
        <v>556</v>
      </c>
      <c r="B86">
        <v>0.3</v>
      </c>
      <c r="C86">
        <v>256</v>
      </c>
      <c r="D86" t="b">
        <v>0</v>
      </c>
      <c r="E86" t="s">
        <v>547</v>
      </c>
      <c r="F86" t="s">
        <v>532</v>
      </c>
      <c r="G86" t="s">
        <v>1</v>
      </c>
      <c r="H86">
        <v>119</v>
      </c>
      <c r="I86">
        <v>0.96830000000000005</v>
      </c>
      <c r="J86">
        <v>0.70740000000000003</v>
      </c>
      <c r="K86">
        <v>1.7096</v>
      </c>
      <c r="L86">
        <v>0.54500000000000004</v>
      </c>
    </row>
    <row r="87" spans="1:12">
      <c r="A87" t="s">
        <v>556</v>
      </c>
      <c r="B87">
        <v>0.5</v>
      </c>
      <c r="C87">
        <v>128</v>
      </c>
      <c r="D87" t="b">
        <v>0</v>
      </c>
      <c r="E87" t="s">
        <v>547</v>
      </c>
      <c r="F87" t="s">
        <v>532</v>
      </c>
      <c r="G87" t="s">
        <v>1</v>
      </c>
      <c r="H87">
        <v>61</v>
      </c>
      <c r="I87">
        <v>1.1859</v>
      </c>
      <c r="J87">
        <v>0.64610000000000001</v>
      </c>
      <c r="K87">
        <v>1.6675</v>
      </c>
      <c r="L87">
        <v>0.54500000000000004</v>
      </c>
    </row>
    <row r="88" spans="1:12">
      <c r="A88" t="s">
        <v>556</v>
      </c>
      <c r="B88">
        <v>0.3</v>
      </c>
      <c r="C88">
        <v>128</v>
      </c>
      <c r="D88" t="b">
        <v>0</v>
      </c>
      <c r="E88" t="s">
        <v>547</v>
      </c>
      <c r="F88" t="s">
        <v>531</v>
      </c>
      <c r="G88" t="s">
        <v>1</v>
      </c>
      <c r="H88">
        <v>60</v>
      </c>
      <c r="I88">
        <v>0.30859999999999999</v>
      </c>
      <c r="J88">
        <v>0.91100000000000003</v>
      </c>
      <c r="K88">
        <v>1.954</v>
      </c>
      <c r="L88">
        <v>0.54449999999999998</v>
      </c>
    </row>
    <row r="89" spans="1:12">
      <c r="A89" t="s">
        <v>556</v>
      </c>
      <c r="B89">
        <v>0.5</v>
      </c>
      <c r="C89">
        <v>128</v>
      </c>
      <c r="D89" t="b">
        <v>0</v>
      </c>
      <c r="E89" t="s">
        <v>548</v>
      </c>
      <c r="F89" t="s">
        <v>532</v>
      </c>
      <c r="G89" t="s">
        <v>1</v>
      </c>
      <c r="H89">
        <v>58</v>
      </c>
      <c r="I89">
        <v>0.96250000000000002</v>
      </c>
      <c r="J89">
        <v>0.71689999999999998</v>
      </c>
      <c r="K89">
        <v>1.6711</v>
      </c>
      <c r="L89">
        <v>0.54449999999999998</v>
      </c>
    </row>
    <row r="90" spans="1:12">
      <c r="A90" t="s">
        <v>556</v>
      </c>
      <c r="B90">
        <v>0.5</v>
      </c>
      <c r="C90">
        <v>256</v>
      </c>
      <c r="D90" t="b">
        <v>0</v>
      </c>
      <c r="E90" t="s">
        <v>548</v>
      </c>
      <c r="F90" t="s">
        <v>532</v>
      </c>
      <c r="G90" t="s">
        <v>4</v>
      </c>
      <c r="H90">
        <v>115</v>
      </c>
      <c r="I90">
        <v>0.78420000000000001</v>
      </c>
      <c r="J90">
        <v>0.76719999999999999</v>
      </c>
      <c r="K90">
        <v>1.7341</v>
      </c>
      <c r="L90">
        <v>0.54449999999999998</v>
      </c>
    </row>
    <row r="91" spans="1:12">
      <c r="A91" t="s">
        <v>556</v>
      </c>
      <c r="B91">
        <v>0.3</v>
      </c>
      <c r="C91">
        <v>64</v>
      </c>
      <c r="D91" t="b">
        <v>0</v>
      </c>
      <c r="E91" t="s">
        <v>548</v>
      </c>
      <c r="F91" t="s">
        <v>532</v>
      </c>
      <c r="G91" t="s">
        <v>5</v>
      </c>
      <c r="H91">
        <v>35</v>
      </c>
      <c r="I91">
        <v>0.70730000000000004</v>
      </c>
      <c r="J91">
        <v>0.78839999999999999</v>
      </c>
      <c r="K91">
        <v>1.8136000000000001</v>
      </c>
      <c r="L91">
        <v>0.54400000000000004</v>
      </c>
    </row>
    <row r="92" spans="1:12">
      <c r="A92" t="s">
        <v>556</v>
      </c>
      <c r="B92">
        <v>0.3</v>
      </c>
      <c r="C92">
        <v>128</v>
      </c>
      <c r="D92" t="b">
        <v>0</v>
      </c>
      <c r="E92" t="s">
        <v>547</v>
      </c>
      <c r="F92" t="s">
        <v>531</v>
      </c>
      <c r="G92" t="s">
        <v>2</v>
      </c>
      <c r="H92">
        <v>67</v>
      </c>
      <c r="I92">
        <v>0.25480000000000003</v>
      </c>
      <c r="J92">
        <v>0.92589999999999995</v>
      </c>
      <c r="K92">
        <v>2.0556000000000001</v>
      </c>
      <c r="L92">
        <v>0.54349999999999998</v>
      </c>
    </row>
    <row r="93" spans="1:12">
      <c r="A93" t="s">
        <v>556</v>
      </c>
      <c r="B93">
        <v>0.3</v>
      </c>
      <c r="C93">
        <v>256</v>
      </c>
      <c r="D93" t="b">
        <v>0</v>
      </c>
      <c r="E93" t="s">
        <v>547</v>
      </c>
      <c r="F93" t="s">
        <v>532</v>
      </c>
      <c r="G93" t="s">
        <v>3</v>
      </c>
      <c r="H93">
        <v>119</v>
      </c>
      <c r="I93">
        <v>0.81850000000000001</v>
      </c>
      <c r="J93">
        <v>0.76029999999999998</v>
      </c>
      <c r="K93">
        <v>1.7057</v>
      </c>
      <c r="L93">
        <v>0.54349999999999998</v>
      </c>
    </row>
    <row r="94" spans="1:12">
      <c r="A94" t="s">
        <v>556</v>
      </c>
      <c r="B94">
        <v>0.5</v>
      </c>
      <c r="C94">
        <v>64</v>
      </c>
      <c r="D94" t="b">
        <v>0</v>
      </c>
      <c r="E94" t="s">
        <v>547</v>
      </c>
      <c r="F94" t="s">
        <v>531</v>
      </c>
      <c r="G94" t="s">
        <v>2</v>
      </c>
      <c r="H94">
        <v>38</v>
      </c>
      <c r="I94">
        <v>0.50839999999999996</v>
      </c>
      <c r="J94">
        <v>0.8538</v>
      </c>
      <c r="K94">
        <v>1.9079999999999999</v>
      </c>
      <c r="L94">
        <v>0.54349999999999998</v>
      </c>
    </row>
    <row r="95" spans="1:12">
      <c r="A95" t="s">
        <v>556</v>
      </c>
      <c r="B95">
        <v>0.1</v>
      </c>
      <c r="C95">
        <v>256</v>
      </c>
      <c r="D95" t="b">
        <v>0</v>
      </c>
      <c r="E95" t="s">
        <v>548</v>
      </c>
      <c r="F95" t="s">
        <v>532</v>
      </c>
      <c r="G95" t="s">
        <v>0</v>
      </c>
      <c r="H95">
        <v>118</v>
      </c>
      <c r="I95">
        <v>0.74850000000000005</v>
      </c>
      <c r="J95">
        <v>0.77480000000000004</v>
      </c>
      <c r="K95">
        <v>1.8027</v>
      </c>
      <c r="L95">
        <v>0.54300000000000004</v>
      </c>
    </row>
    <row r="96" spans="1:12">
      <c r="A96" t="s">
        <v>556</v>
      </c>
      <c r="B96">
        <v>0.5</v>
      </c>
      <c r="C96">
        <v>128</v>
      </c>
      <c r="D96" t="b">
        <v>0</v>
      </c>
      <c r="E96" t="s">
        <v>547</v>
      </c>
      <c r="F96" t="s">
        <v>532</v>
      </c>
      <c r="G96" t="s">
        <v>0</v>
      </c>
      <c r="H96">
        <v>61</v>
      </c>
      <c r="I96">
        <v>1.2748999999999999</v>
      </c>
      <c r="J96">
        <v>0.61209999999999998</v>
      </c>
      <c r="K96">
        <v>1.6859999999999999</v>
      </c>
      <c r="L96">
        <v>0.54249999999999998</v>
      </c>
    </row>
    <row r="97" spans="1:12">
      <c r="A97" t="s">
        <v>556</v>
      </c>
      <c r="B97">
        <v>0.1</v>
      </c>
      <c r="C97">
        <v>64</v>
      </c>
      <c r="D97" t="b">
        <v>0</v>
      </c>
      <c r="E97" t="s">
        <v>547</v>
      </c>
      <c r="F97" t="s">
        <v>532</v>
      </c>
      <c r="G97" t="s">
        <v>0</v>
      </c>
      <c r="H97">
        <v>34</v>
      </c>
      <c r="I97">
        <v>1.1332</v>
      </c>
      <c r="J97">
        <v>0.6714</v>
      </c>
      <c r="K97">
        <v>1.7000999999999999</v>
      </c>
      <c r="L97">
        <v>0.54200000000000004</v>
      </c>
    </row>
    <row r="98" spans="1:12">
      <c r="A98" t="s">
        <v>556</v>
      </c>
      <c r="B98">
        <v>0.1</v>
      </c>
      <c r="C98">
        <v>128</v>
      </c>
      <c r="D98" t="b">
        <v>0</v>
      </c>
      <c r="E98" t="s">
        <v>547</v>
      </c>
      <c r="F98" t="s">
        <v>531</v>
      </c>
      <c r="G98" t="s">
        <v>1</v>
      </c>
      <c r="H98">
        <v>61</v>
      </c>
      <c r="I98">
        <v>0.25600000000000001</v>
      </c>
      <c r="J98">
        <v>0.9254</v>
      </c>
      <c r="K98">
        <v>2.0537000000000001</v>
      </c>
      <c r="L98">
        <v>0.54200000000000004</v>
      </c>
    </row>
    <row r="99" spans="1:12">
      <c r="A99" t="s">
        <v>556</v>
      </c>
      <c r="B99">
        <v>0.5</v>
      </c>
      <c r="C99">
        <v>64</v>
      </c>
      <c r="D99" t="b">
        <v>0</v>
      </c>
      <c r="E99" t="s">
        <v>547</v>
      </c>
      <c r="F99" t="s">
        <v>531</v>
      </c>
      <c r="G99" t="s">
        <v>5</v>
      </c>
      <c r="H99">
        <v>38</v>
      </c>
      <c r="I99">
        <v>0.36220000000000002</v>
      </c>
      <c r="J99">
        <v>0.89639999999999997</v>
      </c>
      <c r="K99">
        <v>2.0356999999999998</v>
      </c>
      <c r="L99">
        <v>0.54200000000000004</v>
      </c>
    </row>
    <row r="100" spans="1:12">
      <c r="A100" t="s">
        <v>556</v>
      </c>
      <c r="B100">
        <v>0.5</v>
      </c>
      <c r="C100">
        <v>128</v>
      </c>
      <c r="D100" t="b">
        <v>0</v>
      </c>
      <c r="E100" t="s">
        <v>548</v>
      </c>
      <c r="F100" t="s">
        <v>532</v>
      </c>
      <c r="G100" t="s">
        <v>4</v>
      </c>
      <c r="H100">
        <v>61</v>
      </c>
      <c r="I100">
        <v>0.77539999999999998</v>
      </c>
      <c r="J100">
        <v>0.76959999999999995</v>
      </c>
      <c r="K100">
        <v>1.7491000000000001</v>
      </c>
      <c r="L100">
        <v>0.54200000000000004</v>
      </c>
    </row>
    <row r="101" spans="1:12">
      <c r="A101" t="s">
        <v>556</v>
      </c>
      <c r="B101">
        <v>0.5</v>
      </c>
      <c r="C101">
        <v>128</v>
      </c>
      <c r="D101" t="b">
        <v>0</v>
      </c>
      <c r="E101" t="s">
        <v>547</v>
      </c>
      <c r="F101" t="s">
        <v>531</v>
      </c>
      <c r="G101" t="s">
        <v>5</v>
      </c>
      <c r="H101">
        <v>61</v>
      </c>
      <c r="I101">
        <v>0.30859999999999999</v>
      </c>
      <c r="J101">
        <v>0.91190000000000004</v>
      </c>
      <c r="K101">
        <v>1.9359999999999999</v>
      </c>
      <c r="L101">
        <v>0.54200000000000004</v>
      </c>
    </row>
    <row r="102" spans="1:12">
      <c r="A102" t="s">
        <v>556</v>
      </c>
      <c r="B102">
        <v>0.5</v>
      </c>
      <c r="C102">
        <v>256</v>
      </c>
      <c r="D102" t="b">
        <v>0</v>
      </c>
      <c r="E102" t="s">
        <v>547</v>
      </c>
      <c r="F102" t="s">
        <v>531</v>
      </c>
      <c r="G102" t="s">
        <v>0</v>
      </c>
      <c r="H102">
        <v>119</v>
      </c>
      <c r="I102">
        <v>0.45700000000000002</v>
      </c>
      <c r="J102">
        <v>0.86409999999999998</v>
      </c>
      <c r="K102">
        <v>1.8371</v>
      </c>
      <c r="L102">
        <v>0.54200000000000004</v>
      </c>
    </row>
    <row r="103" spans="1:12">
      <c r="A103" t="s">
        <v>556</v>
      </c>
      <c r="B103">
        <v>0.5</v>
      </c>
      <c r="C103">
        <v>256</v>
      </c>
      <c r="D103" t="b">
        <v>0</v>
      </c>
      <c r="E103" t="s">
        <v>547</v>
      </c>
      <c r="F103" t="s">
        <v>531</v>
      </c>
      <c r="G103" t="s">
        <v>2</v>
      </c>
      <c r="H103">
        <v>118</v>
      </c>
      <c r="I103">
        <v>0.34470000000000001</v>
      </c>
      <c r="J103">
        <v>0.89590000000000003</v>
      </c>
      <c r="K103">
        <v>1.9369000000000001</v>
      </c>
      <c r="L103">
        <v>0.54200000000000004</v>
      </c>
    </row>
    <row r="104" spans="1:12">
      <c r="A104" t="s">
        <v>556</v>
      </c>
      <c r="B104">
        <v>0.1</v>
      </c>
      <c r="C104">
        <v>128</v>
      </c>
      <c r="D104" t="b">
        <v>0</v>
      </c>
      <c r="E104" t="s">
        <v>548</v>
      </c>
      <c r="F104" t="s">
        <v>532</v>
      </c>
      <c r="G104" t="s">
        <v>2</v>
      </c>
      <c r="H104">
        <v>57</v>
      </c>
      <c r="I104">
        <v>0.60799999999999998</v>
      </c>
      <c r="J104">
        <v>0.81910000000000005</v>
      </c>
      <c r="K104">
        <v>1.8767</v>
      </c>
      <c r="L104">
        <v>0.54149999999999998</v>
      </c>
    </row>
    <row r="105" spans="1:12">
      <c r="A105" t="s">
        <v>556</v>
      </c>
      <c r="B105">
        <v>0.3</v>
      </c>
      <c r="C105">
        <v>128</v>
      </c>
      <c r="D105" t="b">
        <v>0</v>
      </c>
      <c r="E105" t="s">
        <v>547</v>
      </c>
      <c r="F105" t="s">
        <v>531</v>
      </c>
      <c r="G105" t="s">
        <v>4</v>
      </c>
      <c r="H105">
        <v>62</v>
      </c>
      <c r="I105">
        <v>0.20499999999999999</v>
      </c>
      <c r="J105">
        <v>0.93889999999999996</v>
      </c>
      <c r="K105">
        <v>2.1236999999999999</v>
      </c>
      <c r="L105">
        <v>0.54149999999999998</v>
      </c>
    </row>
    <row r="106" spans="1:12">
      <c r="A106" t="s">
        <v>556</v>
      </c>
      <c r="B106">
        <v>0.1</v>
      </c>
      <c r="C106">
        <v>128</v>
      </c>
      <c r="D106" t="b">
        <v>0</v>
      </c>
      <c r="E106" t="s">
        <v>547</v>
      </c>
      <c r="F106" t="s">
        <v>531</v>
      </c>
      <c r="G106" t="s">
        <v>2</v>
      </c>
      <c r="H106">
        <v>60</v>
      </c>
      <c r="I106">
        <v>0.2001</v>
      </c>
      <c r="J106">
        <v>0.94299999999999995</v>
      </c>
      <c r="K106">
        <v>2.1404000000000001</v>
      </c>
      <c r="L106">
        <v>0.54100000000000004</v>
      </c>
    </row>
    <row r="107" spans="1:12">
      <c r="A107" t="s">
        <v>556</v>
      </c>
      <c r="B107">
        <v>0.3</v>
      </c>
      <c r="C107">
        <v>64</v>
      </c>
      <c r="D107" t="b">
        <v>0</v>
      </c>
      <c r="E107" t="s">
        <v>547</v>
      </c>
      <c r="F107" t="s">
        <v>532</v>
      </c>
      <c r="G107" t="s">
        <v>0</v>
      </c>
      <c r="H107">
        <v>37</v>
      </c>
      <c r="I107">
        <v>1.2625999999999999</v>
      </c>
      <c r="J107">
        <v>0.62790000000000001</v>
      </c>
      <c r="K107">
        <v>1.724</v>
      </c>
      <c r="L107">
        <v>0.54049999999999998</v>
      </c>
    </row>
    <row r="108" spans="1:12">
      <c r="A108" t="s">
        <v>556</v>
      </c>
      <c r="B108">
        <v>0.3</v>
      </c>
      <c r="C108">
        <v>256</v>
      </c>
      <c r="D108" t="b">
        <v>0</v>
      </c>
      <c r="E108" t="s">
        <v>547</v>
      </c>
      <c r="F108" t="s">
        <v>532</v>
      </c>
      <c r="G108" t="s">
        <v>2</v>
      </c>
      <c r="H108">
        <v>119</v>
      </c>
      <c r="I108">
        <v>0.91159999999999997</v>
      </c>
      <c r="J108">
        <v>0.73050000000000004</v>
      </c>
      <c r="K108">
        <v>1.7553000000000001</v>
      </c>
      <c r="L108">
        <v>0.54049999999999998</v>
      </c>
    </row>
    <row r="109" spans="1:12">
      <c r="A109" t="s">
        <v>556</v>
      </c>
      <c r="B109">
        <v>0.5</v>
      </c>
      <c r="C109">
        <v>128</v>
      </c>
      <c r="D109" t="b">
        <v>0</v>
      </c>
      <c r="E109" t="s">
        <v>548</v>
      </c>
      <c r="F109" t="s">
        <v>532</v>
      </c>
      <c r="G109" t="s">
        <v>0</v>
      </c>
      <c r="H109">
        <v>58</v>
      </c>
      <c r="I109">
        <v>1.0277000000000001</v>
      </c>
      <c r="J109">
        <v>0.6925</v>
      </c>
      <c r="K109">
        <v>1.7102999999999999</v>
      </c>
      <c r="L109">
        <v>0.54049999999999998</v>
      </c>
    </row>
    <row r="110" spans="1:12">
      <c r="A110" t="s">
        <v>556</v>
      </c>
      <c r="B110">
        <v>0.1</v>
      </c>
      <c r="C110">
        <v>128</v>
      </c>
      <c r="D110" t="b">
        <v>0</v>
      </c>
      <c r="E110" t="s">
        <v>548</v>
      </c>
      <c r="F110" t="s">
        <v>532</v>
      </c>
      <c r="G110" t="s">
        <v>5</v>
      </c>
      <c r="H110">
        <v>58</v>
      </c>
      <c r="I110">
        <v>0.44590000000000002</v>
      </c>
      <c r="J110">
        <v>0.871</v>
      </c>
      <c r="K110">
        <v>1.9512</v>
      </c>
      <c r="L110">
        <v>0.54</v>
      </c>
    </row>
    <row r="111" spans="1:12">
      <c r="A111" t="s">
        <v>556</v>
      </c>
      <c r="B111">
        <v>0.3</v>
      </c>
      <c r="C111">
        <v>256</v>
      </c>
      <c r="D111" t="b">
        <v>0</v>
      </c>
      <c r="E111" t="s">
        <v>548</v>
      </c>
      <c r="F111" t="s">
        <v>532</v>
      </c>
      <c r="G111" t="s">
        <v>0</v>
      </c>
      <c r="H111">
        <v>115</v>
      </c>
      <c r="I111">
        <v>0.84509999999999996</v>
      </c>
      <c r="J111">
        <v>0.74760000000000004</v>
      </c>
      <c r="K111">
        <v>1.7364999999999999</v>
      </c>
      <c r="L111">
        <v>0.53949999999999998</v>
      </c>
    </row>
    <row r="112" spans="1:12">
      <c r="A112" t="s">
        <v>556</v>
      </c>
      <c r="B112">
        <v>0.5</v>
      </c>
      <c r="C112">
        <v>64</v>
      </c>
      <c r="D112" t="b">
        <v>0</v>
      </c>
      <c r="E112" t="s">
        <v>548</v>
      </c>
      <c r="F112" t="s">
        <v>532</v>
      </c>
      <c r="G112" t="s">
        <v>1</v>
      </c>
      <c r="H112">
        <v>36</v>
      </c>
      <c r="I112">
        <v>1.0891999999999999</v>
      </c>
      <c r="J112">
        <v>0.67349999999999999</v>
      </c>
      <c r="K112">
        <v>1.7249000000000001</v>
      </c>
      <c r="L112">
        <v>0.53949999999999998</v>
      </c>
    </row>
    <row r="113" spans="1:12">
      <c r="A113" t="s">
        <v>556</v>
      </c>
      <c r="B113">
        <v>0.5</v>
      </c>
      <c r="C113">
        <v>64</v>
      </c>
      <c r="D113" t="b">
        <v>0</v>
      </c>
      <c r="E113" t="s">
        <v>547</v>
      </c>
      <c r="F113" t="s">
        <v>532</v>
      </c>
      <c r="G113" t="s">
        <v>2</v>
      </c>
      <c r="H113">
        <v>40</v>
      </c>
      <c r="I113">
        <v>1.2408999999999999</v>
      </c>
      <c r="J113">
        <v>0.63160000000000005</v>
      </c>
      <c r="K113">
        <v>1.7119</v>
      </c>
      <c r="L113">
        <v>0.53900000000000003</v>
      </c>
    </row>
    <row r="114" spans="1:12">
      <c r="A114" t="s">
        <v>556</v>
      </c>
      <c r="B114">
        <v>0.3</v>
      </c>
      <c r="C114">
        <v>256</v>
      </c>
      <c r="D114" t="b">
        <v>0</v>
      </c>
      <c r="E114" t="s">
        <v>548</v>
      </c>
      <c r="F114" t="s">
        <v>531</v>
      </c>
      <c r="G114" t="s">
        <v>0</v>
      </c>
      <c r="H114">
        <v>113</v>
      </c>
      <c r="I114">
        <v>0.29409999999999997</v>
      </c>
      <c r="J114">
        <v>0.91390000000000005</v>
      </c>
      <c r="K114">
        <v>2.028</v>
      </c>
      <c r="L114">
        <v>0.53849999999999998</v>
      </c>
    </row>
    <row r="115" spans="1:12">
      <c r="A115" t="s">
        <v>556</v>
      </c>
      <c r="B115">
        <v>0.3</v>
      </c>
      <c r="C115">
        <v>256</v>
      </c>
      <c r="D115" t="b">
        <v>0</v>
      </c>
      <c r="E115" t="s">
        <v>548</v>
      </c>
      <c r="F115" t="s">
        <v>531</v>
      </c>
      <c r="G115" t="s">
        <v>1</v>
      </c>
      <c r="H115">
        <v>112</v>
      </c>
      <c r="I115">
        <v>0.24529999999999999</v>
      </c>
      <c r="J115">
        <v>0.92310000000000003</v>
      </c>
      <c r="K115">
        <v>2.0133000000000001</v>
      </c>
      <c r="L115">
        <v>0.53849999999999998</v>
      </c>
    </row>
    <row r="116" spans="1:12">
      <c r="A116" t="s">
        <v>556</v>
      </c>
      <c r="B116">
        <v>0.1</v>
      </c>
      <c r="C116">
        <v>64</v>
      </c>
      <c r="D116" t="b">
        <v>0</v>
      </c>
      <c r="E116" t="s">
        <v>547</v>
      </c>
      <c r="F116" t="s">
        <v>532</v>
      </c>
      <c r="G116" t="s">
        <v>2</v>
      </c>
      <c r="H116">
        <v>33</v>
      </c>
      <c r="I116">
        <v>0.9677</v>
      </c>
      <c r="J116">
        <v>0.71609999999999996</v>
      </c>
      <c r="K116">
        <v>1.7269000000000001</v>
      </c>
      <c r="L116">
        <v>0.53749999999999998</v>
      </c>
    </row>
    <row r="117" spans="1:12">
      <c r="A117" t="s">
        <v>556</v>
      </c>
      <c r="B117">
        <v>0.5</v>
      </c>
      <c r="C117">
        <v>128</v>
      </c>
      <c r="D117" t="b">
        <v>0</v>
      </c>
      <c r="E117" t="s">
        <v>547</v>
      </c>
      <c r="F117" t="s">
        <v>531</v>
      </c>
      <c r="G117" t="s">
        <v>1</v>
      </c>
      <c r="H117">
        <v>61</v>
      </c>
      <c r="I117">
        <v>0.46800000000000003</v>
      </c>
      <c r="J117">
        <v>0.8629</v>
      </c>
      <c r="K117">
        <v>1.8262</v>
      </c>
      <c r="L117">
        <v>0.53749999999999998</v>
      </c>
    </row>
    <row r="118" spans="1:12">
      <c r="A118" t="s">
        <v>556</v>
      </c>
      <c r="B118">
        <v>0.3</v>
      </c>
      <c r="C118">
        <v>128</v>
      </c>
      <c r="D118" t="b">
        <v>0</v>
      </c>
      <c r="E118" t="s">
        <v>548</v>
      </c>
      <c r="F118" t="s">
        <v>532</v>
      </c>
      <c r="G118" t="s">
        <v>5</v>
      </c>
      <c r="H118">
        <v>58</v>
      </c>
      <c r="I118">
        <v>0.55120000000000002</v>
      </c>
      <c r="J118">
        <v>0.83250000000000002</v>
      </c>
      <c r="K118">
        <v>1.88</v>
      </c>
      <c r="L118">
        <v>0.53700000000000003</v>
      </c>
    </row>
    <row r="119" spans="1:12">
      <c r="A119" t="s">
        <v>556</v>
      </c>
      <c r="B119">
        <v>0.1</v>
      </c>
      <c r="C119">
        <v>128</v>
      </c>
      <c r="D119" t="b">
        <v>0</v>
      </c>
      <c r="E119" t="s">
        <v>547</v>
      </c>
      <c r="F119" t="s">
        <v>531</v>
      </c>
      <c r="G119" t="s">
        <v>5</v>
      </c>
      <c r="H119">
        <v>61</v>
      </c>
      <c r="I119">
        <v>0.15770000000000001</v>
      </c>
      <c r="J119">
        <v>0.95599999999999996</v>
      </c>
      <c r="K119">
        <v>2.2534999999999998</v>
      </c>
      <c r="L119">
        <v>0.53600000000000003</v>
      </c>
    </row>
    <row r="120" spans="1:12">
      <c r="A120" t="s">
        <v>556</v>
      </c>
      <c r="B120">
        <v>0.3</v>
      </c>
      <c r="C120">
        <v>256</v>
      </c>
      <c r="D120" t="b">
        <v>0</v>
      </c>
      <c r="E120" t="s">
        <v>547</v>
      </c>
      <c r="F120" t="s">
        <v>531</v>
      </c>
      <c r="G120" t="s">
        <v>4</v>
      </c>
      <c r="H120">
        <v>123</v>
      </c>
      <c r="I120">
        <v>0.21659999999999999</v>
      </c>
      <c r="J120">
        <v>0.93810000000000004</v>
      </c>
      <c r="K120">
        <v>2.1356000000000002</v>
      </c>
      <c r="L120">
        <v>0.53600000000000003</v>
      </c>
    </row>
    <row r="121" spans="1:12">
      <c r="A121" t="s">
        <v>556</v>
      </c>
      <c r="B121">
        <v>0.3</v>
      </c>
      <c r="C121">
        <v>256</v>
      </c>
      <c r="D121" t="b">
        <v>0</v>
      </c>
      <c r="E121" t="s">
        <v>547</v>
      </c>
      <c r="F121" t="s">
        <v>531</v>
      </c>
      <c r="G121" t="s">
        <v>0</v>
      </c>
      <c r="H121">
        <v>120</v>
      </c>
      <c r="I121">
        <v>0.34050000000000002</v>
      </c>
      <c r="J121">
        <v>0.90339999999999998</v>
      </c>
      <c r="K121">
        <v>1.9975000000000001</v>
      </c>
      <c r="L121">
        <v>0.53549999999999998</v>
      </c>
    </row>
    <row r="122" spans="1:12">
      <c r="A122" t="s">
        <v>556</v>
      </c>
      <c r="B122">
        <v>0.5</v>
      </c>
      <c r="C122">
        <v>256</v>
      </c>
      <c r="D122" t="b">
        <v>0</v>
      </c>
      <c r="E122" t="s">
        <v>548</v>
      </c>
      <c r="F122" t="s">
        <v>531</v>
      </c>
      <c r="G122" t="s">
        <v>1</v>
      </c>
      <c r="H122">
        <v>117</v>
      </c>
      <c r="I122">
        <v>0.34810000000000002</v>
      </c>
      <c r="J122">
        <v>0.89739999999999998</v>
      </c>
      <c r="K122">
        <v>1.9120999999999999</v>
      </c>
      <c r="L122">
        <v>0.53500000000000003</v>
      </c>
    </row>
    <row r="123" spans="1:12">
      <c r="A123" t="s">
        <v>556</v>
      </c>
      <c r="B123">
        <v>0.5</v>
      </c>
      <c r="C123">
        <v>64</v>
      </c>
      <c r="D123" t="b">
        <v>0</v>
      </c>
      <c r="E123" t="s">
        <v>547</v>
      </c>
      <c r="F123" t="s">
        <v>531</v>
      </c>
      <c r="G123" t="s">
        <v>1</v>
      </c>
      <c r="H123">
        <v>38</v>
      </c>
      <c r="I123">
        <v>0.54869999999999997</v>
      </c>
      <c r="J123">
        <v>0.84450000000000003</v>
      </c>
      <c r="K123">
        <v>1.9007000000000001</v>
      </c>
      <c r="L123">
        <v>0.53449999999999998</v>
      </c>
    </row>
    <row r="124" spans="1:12">
      <c r="A124" t="s">
        <v>556</v>
      </c>
      <c r="B124">
        <v>0.1</v>
      </c>
      <c r="C124">
        <v>256</v>
      </c>
      <c r="D124" t="b">
        <v>0</v>
      </c>
      <c r="E124" t="s">
        <v>548</v>
      </c>
      <c r="F124" t="s">
        <v>532</v>
      </c>
      <c r="G124" t="s">
        <v>1</v>
      </c>
      <c r="H124">
        <v>119</v>
      </c>
      <c r="I124">
        <v>0.67530000000000001</v>
      </c>
      <c r="J124">
        <v>0.79910000000000003</v>
      </c>
      <c r="K124">
        <v>1.8344</v>
      </c>
      <c r="L124">
        <v>0.53300000000000003</v>
      </c>
    </row>
    <row r="125" spans="1:12">
      <c r="A125" t="s">
        <v>556</v>
      </c>
      <c r="B125">
        <v>0.3</v>
      </c>
      <c r="C125">
        <v>64</v>
      </c>
      <c r="D125" t="b">
        <v>0</v>
      </c>
      <c r="E125" t="s">
        <v>548</v>
      </c>
      <c r="F125" t="s">
        <v>532</v>
      </c>
      <c r="G125" t="s">
        <v>3</v>
      </c>
      <c r="H125">
        <v>34</v>
      </c>
      <c r="I125">
        <v>0.82520000000000004</v>
      </c>
      <c r="J125">
        <v>0.75619999999999998</v>
      </c>
      <c r="K125">
        <v>1.8506</v>
      </c>
      <c r="L125">
        <v>0.53249999999999997</v>
      </c>
    </row>
    <row r="126" spans="1:12">
      <c r="A126" t="s">
        <v>556</v>
      </c>
      <c r="B126">
        <v>0.3</v>
      </c>
      <c r="C126">
        <v>128</v>
      </c>
      <c r="D126" t="b">
        <v>0</v>
      </c>
      <c r="E126" t="s">
        <v>547</v>
      </c>
      <c r="F126" t="s">
        <v>531</v>
      </c>
      <c r="G126" t="s">
        <v>0</v>
      </c>
      <c r="H126">
        <v>60</v>
      </c>
      <c r="I126">
        <v>0.35720000000000002</v>
      </c>
      <c r="J126">
        <v>0.89780000000000004</v>
      </c>
      <c r="K126">
        <v>1.9637</v>
      </c>
      <c r="L126">
        <v>0.53249999999999997</v>
      </c>
    </row>
    <row r="127" spans="1:12">
      <c r="A127" t="s">
        <v>556</v>
      </c>
      <c r="B127">
        <v>0.1</v>
      </c>
      <c r="C127">
        <v>256</v>
      </c>
      <c r="D127" t="b">
        <v>0</v>
      </c>
      <c r="E127" t="s">
        <v>547</v>
      </c>
      <c r="F127" t="s">
        <v>531</v>
      </c>
      <c r="G127" t="s">
        <v>0</v>
      </c>
      <c r="H127">
        <v>116</v>
      </c>
      <c r="I127">
        <v>0.26860000000000001</v>
      </c>
      <c r="J127">
        <v>0.91930000000000001</v>
      </c>
      <c r="K127">
        <v>2.0640000000000001</v>
      </c>
      <c r="L127">
        <v>0.53200000000000003</v>
      </c>
    </row>
    <row r="128" spans="1:12">
      <c r="A128" t="s">
        <v>556</v>
      </c>
      <c r="B128">
        <v>0.3</v>
      </c>
      <c r="C128">
        <v>128</v>
      </c>
      <c r="D128" t="b">
        <v>0</v>
      </c>
      <c r="E128" t="s">
        <v>548</v>
      </c>
      <c r="F128" t="s">
        <v>531</v>
      </c>
      <c r="G128" t="s">
        <v>5</v>
      </c>
      <c r="H128">
        <v>58</v>
      </c>
      <c r="I128">
        <v>0.17230000000000001</v>
      </c>
      <c r="J128">
        <v>0.94840000000000002</v>
      </c>
      <c r="K128">
        <v>2.2810000000000001</v>
      </c>
      <c r="L128">
        <v>0.53200000000000003</v>
      </c>
    </row>
    <row r="129" spans="1:12">
      <c r="A129" t="s">
        <v>556</v>
      </c>
      <c r="B129">
        <v>0.3</v>
      </c>
      <c r="C129">
        <v>256</v>
      </c>
      <c r="D129" t="b">
        <v>0</v>
      </c>
      <c r="E129" t="s">
        <v>547</v>
      </c>
      <c r="F129" t="s">
        <v>531</v>
      </c>
      <c r="G129" t="s">
        <v>2</v>
      </c>
      <c r="H129">
        <v>116</v>
      </c>
      <c r="I129">
        <v>0.2535</v>
      </c>
      <c r="J129">
        <v>0.92210000000000003</v>
      </c>
      <c r="K129">
        <v>2.1320999999999999</v>
      </c>
      <c r="L129">
        <v>0.53200000000000003</v>
      </c>
    </row>
    <row r="130" spans="1:12">
      <c r="A130" t="s">
        <v>556</v>
      </c>
      <c r="B130">
        <v>0.1</v>
      </c>
      <c r="C130">
        <v>256</v>
      </c>
      <c r="D130" t="b">
        <v>0</v>
      </c>
      <c r="E130" t="s">
        <v>548</v>
      </c>
      <c r="F130" t="s">
        <v>531</v>
      </c>
      <c r="G130" t="s">
        <v>3</v>
      </c>
      <c r="H130">
        <v>116</v>
      </c>
      <c r="I130">
        <v>0.1731</v>
      </c>
      <c r="J130">
        <v>0.9496</v>
      </c>
      <c r="K130">
        <v>2.1913</v>
      </c>
      <c r="L130">
        <v>0.53149999999999997</v>
      </c>
    </row>
    <row r="131" spans="1:12">
      <c r="A131" t="s">
        <v>556</v>
      </c>
      <c r="B131">
        <v>0.3</v>
      </c>
      <c r="C131">
        <v>64</v>
      </c>
      <c r="D131" t="b">
        <v>0</v>
      </c>
      <c r="E131" t="s">
        <v>548</v>
      </c>
      <c r="F131" t="s">
        <v>532</v>
      </c>
      <c r="G131" t="s">
        <v>4</v>
      </c>
      <c r="H131">
        <v>34</v>
      </c>
      <c r="I131">
        <v>0.76</v>
      </c>
      <c r="J131">
        <v>0.77290000000000003</v>
      </c>
      <c r="K131">
        <v>1.8594999999999999</v>
      </c>
      <c r="L131">
        <v>0.53149999999999997</v>
      </c>
    </row>
    <row r="132" spans="1:12">
      <c r="A132" t="s">
        <v>556</v>
      </c>
      <c r="B132">
        <v>0.3</v>
      </c>
      <c r="C132">
        <v>128</v>
      </c>
      <c r="D132" t="b">
        <v>0</v>
      </c>
      <c r="E132" t="s">
        <v>548</v>
      </c>
      <c r="F132" t="s">
        <v>531</v>
      </c>
      <c r="G132" t="s">
        <v>2</v>
      </c>
      <c r="H132">
        <v>59</v>
      </c>
      <c r="I132">
        <v>0.2319</v>
      </c>
      <c r="J132">
        <v>0.93210000000000004</v>
      </c>
      <c r="K132">
        <v>2.1265000000000001</v>
      </c>
      <c r="L132">
        <v>0.53100000000000003</v>
      </c>
    </row>
    <row r="133" spans="1:12">
      <c r="A133" t="s">
        <v>556</v>
      </c>
      <c r="B133">
        <v>0.5</v>
      </c>
      <c r="C133">
        <v>128</v>
      </c>
      <c r="D133" t="b">
        <v>0</v>
      </c>
      <c r="E133" t="s">
        <v>548</v>
      </c>
      <c r="F133" t="s">
        <v>531</v>
      </c>
      <c r="G133" t="s">
        <v>5</v>
      </c>
      <c r="H133">
        <v>59</v>
      </c>
      <c r="I133">
        <v>0.2576</v>
      </c>
      <c r="J133">
        <v>0.92300000000000004</v>
      </c>
      <c r="K133">
        <v>2.1863000000000001</v>
      </c>
      <c r="L133">
        <v>0.53100000000000003</v>
      </c>
    </row>
    <row r="134" spans="1:12">
      <c r="A134" t="s">
        <v>556</v>
      </c>
      <c r="B134">
        <v>0.1</v>
      </c>
      <c r="C134">
        <v>64</v>
      </c>
      <c r="D134" t="b">
        <v>0</v>
      </c>
      <c r="E134" t="s">
        <v>547</v>
      </c>
      <c r="F134" t="s">
        <v>532</v>
      </c>
      <c r="G134" t="s">
        <v>1</v>
      </c>
      <c r="H134">
        <v>33</v>
      </c>
      <c r="I134">
        <v>1.0364</v>
      </c>
      <c r="J134">
        <v>0.69610000000000005</v>
      </c>
      <c r="K134">
        <v>1.7364999999999999</v>
      </c>
      <c r="L134">
        <v>0.53049999999999997</v>
      </c>
    </row>
    <row r="135" spans="1:12">
      <c r="A135" t="s">
        <v>556</v>
      </c>
      <c r="B135">
        <v>0.1</v>
      </c>
      <c r="C135">
        <v>128</v>
      </c>
      <c r="D135" t="b">
        <v>0</v>
      </c>
      <c r="E135" t="s">
        <v>547</v>
      </c>
      <c r="F135" t="s">
        <v>531</v>
      </c>
      <c r="G135" t="s">
        <v>4</v>
      </c>
      <c r="H135">
        <v>61</v>
      </c>
      <c r="I135">
        <v>0.18459999999999999</v>
      </c>
      <c r="J135">
        <v>0.94940000000000002</v>
      </c>
      <c r="K135">
        <v>2.198</v>
      </c>
      <c r="L135">
        <v>0.53</v>
      </c>
    </row>
    <row r="136" spans="1:12">
      <c r="A136" t="s">
        <v>556</v>
      </c>
      <c r="B136">
        <v>0.1</v>
      </c>
      <c r="C136">
        <v>256</v>
      </c>
      <c r="D136" t="b">
        <v>0</v>
      </c>
      <c r="E136" t="s">
        <v>548</v>
      </c>
      <c r="F136" t="s">
        <v>532</v>
      </c>
      <c r="G136" t="s">
        <v>4</v>
      </c>
      <c r="H136">
        <v>120</v>
      </c>
      <c r="I136">
        <v>0.48820000000000002</v>
      </c>
      <c r="J136">
        <v>0.84960000000000002</v>
      </c>
      <c r="K136">
        <v>1.9028</v>
      </c>
      <c r="L136">
        <v>0.53</v>
      </c>
    </row>
    <row r="137" spans="1:12">
      <c r="A137" t="s">
        <v>556</v>
      </c>
      <c r="B137">
        <v>0.1</v>
      </c>
      <c r="C137">
        <v>64</v>
      </c>
      <c r="D137" t="b">
        <v>0</v>
      </c>
      <c r="E137" t="s">
        <v>548</v>
      </c>
      <c r="F137" t="s">
        <v>532</v>
      </c>
      <c r="G137" t="s">
        <v>1</v>
      </c>
      <c r="H137">
        <v>30</v>
      </c>
      <c r="I137">
        <v>0.80159999999999998</v>
      </c>
      <c r="J137">
        <v>0.76490000000000002</v>
      </c>
      <c r="K137">
        <v>1.8711</v>
      </c>
      <c r="L137">
        <v>0.52949999999999997</v>
      </c>
    </row>
    <row r="138" spans="1:12">
      <c r="A138" t="s">
        <v>556</v>
      </c>
      <c r="B138">
        <v>0.1</v>
      </c>
      <c r="C138">
        <v>64</v>
      </c>
      <c r="D138" t="b">
        <v>0</v>
      </c>
      <c r="E138" t="s">
        <v>548</v>
      </c>
      <c r="F138" t="s">
        <v>531</v>
      </c>
      <c r="G138" t="s">
        <v>2</v>
      </c>
      <c r="H138">
        <v>30</v>
      </c>
      <c r="I138">
        <v>0.19939999999999999</v>
      </c>
      <c r="J138">
        <v>0.94569999999999999</v>
      </c>
      <c r="K138">
        <v>2.3062999999999998</v>
      </c>
      <c r="L138">
        <v>0.52900000000000003</v>
      </c>
    </row>
    <row r="139" spans="1:12">
      <c r="A139" t="s">
        <v>556</v>
      </c>
      <c r="B139">
        <v>0.1</v>
      </c>
      <c r="C139">
        <v>64</v>
      </c>
      <c r="D139" t="b">
        <v>0</v>
      </c>
      <c r="E139" t="s">
        <v>548</v>
      </c>
      <c r="F139" t="s">
        <v>532</v>
      </c>
      <c r="G139" t="s">
        <v>5</v>
      </c>
      <c r="H139">
        <v>30</v>
      </c>
      <c r="I139">
        <v>0.54820000000000002</v>
      </c>
      <c r="J139">
        <v>0.83640000000000003</v>
      </c>
      <c r="K139">
        <v>2.0055999999999998</v>
      </c>
      <c r="L139">
        <v>0.52900000000000003</v>
      </c>
    </row>
    <row r="140" spans="1:12">
      <c r="A140" t="s">
        <v>556</v>
      </c>
      <c r="B140">
        <v>0.1</v>
      </c>
      <c r="C140">
        <v>128</v>
      </c>
      <c r="D140" t="b">
        <v>0</v>
      </c>
      <c r="E140" t="s">
        <v>547</v>
      </c>
      <c r="F140" t="s">
        <v>531</v>
      </c>
      <c r="G140" t="s">
        <v>3</v>
      </c>
      <c r="H140">
        <v>60</v>
      </c>
      <c r="I140">
        <v>0.1986</v>
      </c>
      <c r="J140">
        <v>0.94130000000000003</v>
      </c>
      <c r="K140">
        <v>2.1442000000000001</v>
      </c>
      <c r="L140">
        <v>0.52900000000000003</v>
      </c>
    </row>
    <row r="141" spans="1:12">
      <c r="A141" t="s">
        <v>556</v>
      </c>
      <c r="B141">
        <v>0.5</v>
      </c>
      <c r="C141">
        <v>64</v>
      </c>
      <c r="D141" t="b">
        <v>0</v>
      </c>
      <c r="E141" t="s">
        <v>547</v>
      </c>
      <c r="F141" t="s">
        <v>531</v>
      </c>
      <c r="G141" t="s">
        <v>0</v>
      </c>
      <c r="H141">
        <v>38</v>
      </c>
      <c r="I141">
        <v>0.64239999999999997</v>
      </c>
      <c r="J141">
        <v>0.81259999999999999</v>
      </c>
      <c r="K141">
        <v>1.8624000000000001</v>
      </c>
      <c r="L141">
        <v>0.52900000000000003</v>
      </c>
    </row>
    <row r="142" spans="1:12">
      <c r="A142" t="s">
        <v>556</v>
      </c>
      <c r="B142">
        <v>0.1</v>
      </c>
      <c r="C142">
        <v>64</v>
      </c>
      <c r="D142" t="b">
        <v>0</v>
      </c>
      <c r="E142" t="s">
        <v>548</v>
      </c>
      <c r="F142" t="s">
        <v>532</v>
      </c>
      <c r="G142" t="s">
        <v>0</v>
      </c>
      <c r="H142">
        <v>30</v>
      </c>
      <c r="I142">
        <v>0.88400000000000001</v>
      </c>
      <c r="J142">
        <v>0.74060000000000004</v>
      </c>
      <c r="K142">
        <v>1.7849999999999999</v>
      </c>
      <c r="L142">
        <v>0.52849999999999997</v>
      </c>
    </row>
    <row r="143" spans="1:12">
      <c r="A143" t="s">
        <v>556</v>
      </c>
      <c r="B143">
        <v>0.1</v>
      </c>
      <c r="C143">
        <v>256</v>
      </c>
      <c r="D143" t="b">
        <v>0</v>
      </c>
      <c r="E143" t="s">
        <v>548</v>
      </c>
      <c r="F143" t="s">
        <v>531</v>
      </c>
      <c r="G143" t="s">
        <v>4</v>
      </c>
      <c r="H143">
        <v>118</v>
      </c>
      <c r="I143">
        <v>0.13469999999999999</v>
      </c>
      <c r="J143">
        <v>0.95960000000000001</v>
      </c>
      <c r="K143">
        <v>2.2364000000000002</v>
      </c>
      <c r="L143">
        <v>0.52849999999999997</v>
      </c>
    </row>
    <row r="144" spans="1:12">
      <c r="A144" t="s">
        <v>556</v>
      </c>
      <c r="B144">
        <v>0.3</v>
      </c>
      <c r="C144">
        <v>128</v>
      </c>
      <c r="D144" t="b">
        <v>0</v>
      </c>
      <c r="E144" t="s">
        <v>548</v>
      </c>
      <c r="F144" t="s">
        <v>531</v>
      </c>
      <c r="G144" t="s">
        <v>3</v>
      </c>
      <c r="H144">
        <v>58</v>
      </c>
      <c r="I144">
        <v>0.20669999999999999</v>
      </c>
      <c r="J144">
        <v>0.93769999999999998</v>
      </c>
      <c r="K144">
        <v>2.2018</v>
      </c>
      <c r="L144">
        <v>0.52749999999999997</v>
      </c>
    </row>
    <row r="145" spans="1:12">
      <c r="A145" t="s">
        <v>556</v>
      </c>
      <c r="B145">
        <v>0.5</v>
      </c>
      <c r="C145">
        <v>128</v>
      </c>
      <c r="D145" t="b">
        <v>0</v>
      </c>
      <c r="E145" t="s">
        <v>548</v>
      </c>
      <c r="F145" t="s">
        <v>531</v>
      </c>
      <c r="G145" t="s">
        <v>2</v>
      </c>
      <c r="H145">
        <v>59</v>
      </c>
      <c r="I145">
        <v>0.34200000000000003</v>
      </c>
      <c r="J145">
        <v>0.89949999999999997</v>
      </c>
      <c r="K145">
        <v>2.0590999999999999</v>
      </c>
      <c r="L145">
        <v>0.52749999999999997</v>
      </c>
    </row>
    <row r="146" spans="1:12">
      <c r="A146" t="s">
        <v>556</v>
      </c>
      <c r="B146">
        <v>0.1</v>
      </c>
      <c r="C146">
        <v>256</v>
      </c>
      <c r="D146" t="b">
        <v>0</v>
      </c>
      <c r="E146" t="s">
        <v>547</v>
      </c>
      <c r="F146" t="s">
        <v>531</v>
      </c>
      <c r="G146" t="s">
        <v>1</v>
      </c>
      <c r="H146">
        <v>116</v>
      </c>
      <c r="I146">
        <v>0.23089999999999999</v>
      </c>
      <c r="J146">
        <v>0.93269999999999997</v>
      </c>
      <c r="K146">
        <v>2.1202999999999999</v>
      </c>
      <c r="L146">
        <v>0.52700000000000002</v>
      </c>
    </row>
    <row r="147" spans="1:12">
      <c r="A147" t="s">
        <v>556</v>
      </c>
      <c r="B147">
        <v>0.5</v>
      </c>
      <c r="C147">
        <v>64</v>
      </c>
      <c r="D147" t="b">
        <v>0</v>
      </c>
      <c r="E147" t="s">
        <v>548</v>
      </c>
      <c r="F147" t="s">
        <v>531</v>
      </c>
      <c r="G147" t="s">
        <v>0</v>
      </c>
      <c r="H147">
        <v>37</v>
      </c>
      <c r="I147">
        <v>0.46610000000000001</v>
      </c>
      <c r="J147">
        <v>0.86519999999999997</v>
      </c>
      <c r="K147">
        <v>2.1118000000000001</v>
      </c>
      <c r="L147">
        <v>0.52700000000000002</v>
      </c>
    </row>
    <row r="148" spans="1:12">
      <c r="A148" t="s">
        <v>556</v>
      </c>
      <c r="B148">
        <v>0.3</v>
      </c>
      <c r="C148">
        <v>256</v>
      </c>
      <c r="D148" t="b">
        <v>0</v>
      </c>
      <c r="E148" t="s">
        <v>548</v>
      </c>
      <c r="F148" t="s">
        <v>531</v>
      </c>
      <c r="G148" t="s">
        <v>4</v>
      </c>
      <c r="H148">
        <v>114</v>
      </c>
      <c r="I148">
        <v>0.18490000000000001</v>
      </c>
      <c r="J148">
        <v>0.94489999999999996</v>
      </c>
      <c r="K148">
        <v>2.1652</v>
      </c>
      <c r="L148">
        <v>0.52649999999999997</v>
      </c>
    </row>
    <row r="149" spans="1:12">
      <c r="A149" t="s">
        <v>556</v>
      </c>
      <c r="B149">
        <v>0.5</v>
      </c>
      <c r="C149">
        <v>64</v>
      </c>
      <c r="D149" t="b">
        <v>0</v>
      </c>
      <c r="E149" t="s">
        <v>548</v>
      </c>
      <c r="F149" t="s">
        <v>531</v>
      </c>
      <c r="G149" t="s">
        <v>5</v>
      </c>
      <c r="H149">
        <v>37</v>
      </c>
      <c r="I149">
        <v>0.2979</v>
      </c>
      <c r="J149">
        <v>0.91679999999999995</v>
      </c>
      <c r="K149">
        <v>2.2883</v>
      </c>
      <c r="L149">
        <v>0.52649999999999997</v>
      </c>
    </row>
    <row r="150" spans="1:12">
      <c r="A150" t="s">
        <v>556</v>
      </c>
      <c r="B150">
        <v>0.1</v>
      </c>
      <c r="C150">
        <v>64</v>
      </c>
      <c r="D150" t="b">
        <v>0</v>
      </c>
      <c r="E150" t="s">
        <v>548</v>
      </c>
      <c r="F150" t="s">
        <v>531</v>
      </c>
      <c r="G150" t="s">
        <v>0</v>
      </c>
      <c r="H150">
        <v>30</v>
      </c>
      <c r="I150">
        <v>0.26069999999999999</v>
      </c>
      <c r="J150">
        <v>0.92689999999999995</v>
      </c>
      <c r="K150">
        <v>2.1814</v>
      </c>
      <c r="L150">
        <v>0.52600000000000002</v>
      </c>
    </row>
    <row r="151" spans="1:12">
      <c r="A151" t="s">
        <v>556</v>
      </c>
      <c r="B151">
        <v>0.1</v>
      </c>
      <c r="C151">
        <v>64</v>
      </c>
      <c r="D151" t="b">
        <v>0</v>
      </c>
      <c r="E151" t="s">
        <v>548</v>
      </c>
      <c r="F151" t="s">
        <v>532</v>
      </c>
      <c r="G151" t="s">
        <v>4</v>
      </c>
      <c r="H151">
        <v>30</v>
      </c>
      <c r="I151">
        <v>0.60240000000000005</v>
      </c>
      <c r="J151">
        <v>0.8286</v>
      </c>
      <c r="K151">
        <v>1.9387000000000001</v>
      </c>
      <c r="L151">
        <v>0.52600000000000002</v>
      </c>
    </row>
    <row r="152" spans="1:12">
      <c r="A152" t="s">
        <v>556</v>
      </c>
      <c r="B152">
        <v>0.3</v>
      </c>
      <c r="C152">
        <v>256</v>
      </c>
      <c r="D152" t="b">
        <v>0</v>
      </c>
      <c r="E152" t="s">
        <v>548</v>
      </c>
      <c r="F152" t="s">
        <v>531</v>
      </c>
      <c r="G152" t="s">
        <v>5</v>
      </c>
      <c r="H152">
        <v>115</v>
      </c>
      <c r="I152">
        <v>0.16309999999999999</v>
      </c>
      <c r="J152">
        <v>0.95089999999999997</v>
      </c>
      <c r="K152">
        <v>2.2416</v>
      </c>
      <c r="L152">
        <v>0.52600000000000002</v>
      </c>
    </row>
    <row r="153" spans="1:12">
      <c r="A153" t="s">
        <v>556</v>
      </c>
      <c r="B153">
        <v>0.1</v>
      </c>
      <c r="C153">
        <v>64</v>
      </c>
      <c r="D153" t="b">
        <v>0</v>
      </c>
      <c r="E153" t="s">
        <v>548</v>
      </c>
      <c r="F153" t="s">
        <v>532</v>
      </c>
      <c r="G153" t="s">
        <v>2</v>
      </c>
      <c r="H153">
        <v>30</v>
      </c>
      <c r="I153">
        <v>0.7248</v>
      </c>
      <c r="J153">
        <v>0.79200000000000004</v>
      </c>
      <c r="K153">
        <v>1.9414</v>
      </c>
      <c r="L153">
        <v>0.52549999999999997</v>
      </c>
    </row>
    <row r="154" spans="1:12">
      <c r="A154" t="s">
        <v>556</v>
      </c>
      <c r="B154">
        <v>0.3</v>
      </c>
      <c r="C154">
        <v>128</v>
      </c>
      <c r="D154" t="b">
        <v>0</v>
      </c>
      <c r="E154" t="s">
        <v>547</v>
      </c>
      <c r="F154" t="s">
        <v>531</v>
      </c>
      <c r="G154" t="s">
        <v>5</v>
      </c>
      <c r="H154">
        <v>64</v>
      </c>
      <c r="I154">
        <v>0.18920000000000001</v>
      </c>
      <c r="J154">
        <v>0.94510000000000005</v>
      </c>
      <c r="K154">
        <v>2.1957</v>
      </c>
      <c r="L154">
        <v>0.52549999999999997</v>
      </c>
    </row>
    <row r="155" spans="1:12">
      <c r="A155" t="s">
        <v>556</v>
      </c>
      <c r="B155">
        <v>0.5</v>
      </c>
      <c r="C155">
        <v>256</v>
      </c>
      <c r="D155" t="b">
        <v>0</v>
      </c>
      <c r="E155" t="s">
        <v>547</v>
      </c>
      <c r="F155" t="s">
        <v>531</v>
      </c>
      <c r="G155" t="s">
        <v>5</v>
      </c>
      <c r="H155">
        <v>119</v>
      </c>
      <c r="I155">
        <v>0.25090000000000001</v>
      </c>
      <c r="J155">
        <v>0.92769999999999997</v>
      </c>
      <c r="K155">
        <v>2.0655000000000001</v>
      </c>
      <c r="L155">
        <v>0.52549999999999997</v>
      </c>
    </row>
    <row r="156" spans="1:12">
      <c r="A156" t="s">
        <v>556</v>
      </c>
      <c r="B156">
        <v>0.1</v>
      </c>
      <c r="C156">
        <v>256</v>
      </c>
      <c r="D156" t="b">
        <v>0</v>
      </c>
      <c r="E156" t="s">
        <v>547</v>
      </c>
      <c r="F156" t="s">
        <v>531</v>
      </c>
      <c r="G156" t="s">
        <v>5</v>
      </c>
      <c r="H156">
        <v>116</v>
      </c>
      <c r="I156">
        <v>0.14480000000000001</v>
      </c>
      <c r="J156">
        <v>0.9556</v>
      </c>
      <c r="K156">
        <v>2.3123</v>
      </c>
      <c r="L156">
        <v>0.52500000000000002</v>
      </c>
    </row>
    <row r="157" spans="1:12">
      <c r="A157" t="s">
        <v>556</v>
      </c>
      <c r="B157">
        <v>0.3</v>
      </c>
      <c r="C157">
        <v>64</v>
      </c>
      <c r="D157" t="b">
        <v>0</v>
      </c>
      <c r="E157" t="s">
        <v>547</v>
      </c>
      <c r="F157" t="s">
        <v>531</v>
      </c>
      <c r="G157" t="s">
        <v>0</v>
      </c>
      <c r="H157">
        <v>36</v>
      </c>
      <c r="I157">
        <v>0.43580000000000002</v>
      </c>
      <c r="J157">
        <v>0.88080000000000003</v>
      </c>
      <c r="K157">
        <v>1.9365000000000001</v>
      </c>
      <c r="L157">
        <v>0.52500000000000002</v>
      </c>
    </row>
    <row r="158" spans="1:12">
      <c r="A158" t="s">
        <v>556</v>
      </c>
      <c r="B158">
        <v>0.5</v>
      </c>
      <c r="C158">
        <v>64</v>
      </c>
      <c r="D158" t="b">
        <v>0</v>
      </c>
      <c r="E158" t="s">
        <v>548</v>
      </c>
      <c r="F158" t="s">
        <v>531</v>
      </c>
      <c r="G158" t="s">
        <v>4</v>
      </c>
      <c r="H158">
        <v>37</v>
      </c>
      <c r="I158">
        <v>0.32269999999999999</v>
      </c>
      <c r="J158">
        <v>0.90500000000000003</v>
      </c>
      <c r="K158">
        <v>2.2625999999999999</v>
      </c>
      <c r="L158">
        <v>0.52500000000000002</v>
      </c>
    </row>
    <row r="159" spans="1:12">
      <c r="A159" t="s">
        <v>556</v>
      </c>
      <c r="B159">
        <v>0.3</v>
      </c>
      <c r="C159">
        <v>64</v>
      </c>
      <c r="D159" t="b">
        <v>0</v>
      </c>
      <c r="E159" t="s">
        <v>547</v>
      </c>
      <c r="F159" t="s">
        <v>531</v>
      </c>
      <c r="G159" t="s">
        <v>3</v>
      </c>
      <c r="H159">
        <v>36</v>
      </c>
      <c r="I159">
        <v>0.2903</v>
      </c>
      <c r="J159">
        <v>0.92210000000000003</v>
      </c>
      <c r="K159">
        <v>2.1440999999999999</v>
      </c>
      <c r="L159">
        <v>0.52449999999999997</v>
      </c>
    </row>
    <row r="160" spans="1:12">
      <c r="A160" t="s">
        <v>556</v>
      </c>
      <c r="B160">
        <v>0.3</v>
      </c>
      <c r="C160">
        <v>256</v>
      </c>
      <c r="D160" t="b">
        <v>0</v>
      </c>
      <c r="E160" t="s">
        <v>548</v>
      </c>
      <c r="F160" t="s">
        <v>531</v>
      </c>
      <c r="G160" t="s">
        <v>2</v>
      </c>
      <c r="H160">
        <v>115</v>
      </c>
      <c r="I160">
        <v>0.2341</v>
      </c>
      <c r="J160">
        <v>0.93</v>
      </c>
      <c r="K160">
        <v>2.0693000000000001</v>
      </c>
      <c r="L160">
        <v>0.52449999999999997</v>
      </c>
    </row>
    <row r="161" spans="1:12">
      <c r="A161" t="s">
        <v>556</v>
      </c>
      <c r="B161">
        <v>0.3</v>
      </c>
      <c r="C161">
        <v>256</v>
      </c>
      <c r="D161" t="b">
        <v>0</v>
      </c>
      <c r="E161" t="s">
        <v>548</v>
      </c>
      <c r="F161" t="s">
        <v>531</v>
      </c>
      <c r="G161" t="s">
        <v>3</v>
      </c>
      <c r="H161">
        <v>115</v>
      </c>
      <c r="I161">
        <v>0.2006</v>
      </c>
      <c r="J161">
        <v>0.94369999999999998</v>
      </c>
      <c r="K161">
        <v>2.0840999999999998</v>
      </c>
      <c r="L161">
        <v>0.52449999999999997</v>
      </c>
    </row>
    <row r="162" spans="1:12">
      <c r="A162" t="s">
        <v>556</v>
      </c>
      <c r="B162">
        <v>0.1</v>
      </c>
      <c r="C162">
        <v>256</v>
      </c>
      <c r="D162" t="b">
        <v>0</v>
      </c>
      <c r="E162" t="s">
        <v>547</v>
      </c>
      <c r="F162" t="s">
        <v>531</v>
      </c>
      <c r="G162" t="s">
        <v>3</v>
      </c>
      <c r="H162">
        <v>116</v>
      </c>
      <c r="I162">
        <v>0.17380000000000001</v>
      </c>
      <c r="J162">
        <v>0.94779999999999998</v>
      </c>
      <c r="K162">
        <v>2.1892999999999998</v>
      </c>
      <c r="L162">
        <v>0.52400000000000002</v>
      </c>
    </row>
    <row r="163" spans="1:12">
      <c r="A163" t="s">
        <v>556</v>
      </c>
      <c r="B163">
        <v>0.3</v>
      </c>
      <c r="C163">
        <v>128</v>
      </c>
      <c r="D163" t="b">
        <v>0</v>
      </c>
      <c r="E163" t="s">
        <v>548</v>
      </c>
      <c r="F163" t="s">
        <v>531</v>
      </c>
      <c r="G163" t="s">
        <v>1</v>
      </c>
      <c r="H163">
        <v>58</v>
      </c>
      <c r="I163">
        <v>0.24979999999999999</v>
      </c>
      <c r="J163">
        <v>0.92649999999999999</v>
      </c>
      <c r="K163">
        <v>2.2124999999999999</v>
      </c>
      <c r="L163">
        <v>0.52400000000000002</v>
      </c>
    </row>
    <row r="164" spans="1:12">
      <c r="A164" t="s">
        <v>556</v>
      </c>
      <c r="B164">
        <v>0.1</v>
      </c>
      <c r="C164">
        <v>128</v>
      </c>
      <c r="D164" t="b">
        <v>0</v>
      </c>
      <c r="E164" t="s">
        <v>548</v>
      </c>
      <c r="F164" t="s">
        <v>531</v>
      </c>
      <c r="G164" t="s">
        <v>1</v>
      </c>
      <c r="H164">
        <v>64</v>
      </c>
      <c r="I164">
        <v>0.2157</v>
      </c>
      <c r="J164">
        <v>0.93759999999999999</v>
      </c>
      <c r="K164">
        <v>2.2966000000000002</v>
      </c>
      <c r="L164">
        <v>0.52349999999999997</v>
      </c>
    </row>
    <row r="165" spans="1:12">
      <c r="A165" t="s">
        <v>556</v>
      </c>
      <c r="B165">
        <v>0.1</v>
      </c>
      <c r="C165">
        <v>256</v>
      </c>
      <c r="D165" t="b">
        <v>0</v>
      </c>
      <c r="E165" t="s">
        <v>548</v>
      </c>
      <c r="F165" t="s">
        <v>531</v>
      </c>
      <c r="G165" t="s">
        <v>2</v>
      </c>
      <c r="H165">
        <v>117</v>
      </c>
      <c r="I165">
        <v>0.18160000000000001</v>
      </c>
      <c r="J165">
        <v>0.94569999999999999</v>
      </c>
      <c r="K165">
        <v>2.1534</v>
      </c>
      <c r="L165">
        <v>0.52349999999999997</v>
      </c>
    </row>
    <row r="166" spans="1:12">
      <c r="A166" t="s">
        <v>556</v>
      </c>
      <c r="B166">
        <v>0.3</v>
      </c>
      <c r="C166">
        <v>64</v>
      </c>
      <c r="D166" t="b">
        <v>0</v>
      </c>
      <c r="E166" t="s">
        <v>548</v>
      </c>
      <c r="F166" t="s">
        <v>532</v>
      </c>
      <c r="G166" t="s">
        <v>2</v>
      </c>
      <c r="H166">
        <v>35</v>
      </c>
      <c r="I166">
        <v>0.87649999999999995</v>
      </c>
      <c r="J166">
        <v>0.73919999999999997</v>
      </c>
      <c r="K166">
        <v>1.8580000000000001</v>
      </c>
      <c r="L166">
        <v>0.52349999999999997</v>
      </c>
    </row>
    <row r="167" spans="1:12">
      <c r="A167" t="s">
        <v>556</v>
      </c>
      <c r="B167">
        <v>0.1</v>
      </c>
      <c r="C167">
        <v>128</v>
      </c>
      <c r="D167" t="b">
        <v>0</v>
      </c>
      <c r="E167" t="s">
        <v>548</v>
      </c>
      <c r="F167" t="s">
        <v>532</v>
      </c>
      <c r="G167" t="s">
        <v>4</v>
      </c>
      <c r="H167">
        <v>58</v>
      </c>
      <c r="I167">
        <v>0.4864</v>
      </c>
      <c r="J167">
        <v>0.8569</v>
      </c>
      <c r="K167">
        <v>1.9327000000000001</v>
      </c>
      <c r="L167">
        <v>0.52249999999999996</v>
      </c>
    </row>
    <row r="168" spans="1:12">
      <c r="A168" t="s">
        <v>556</v>
      </c>
      <c r="B168">
        <v>0.3</v>
      </c>
      <c r="C168">
        <v>128</v>
      </c>
      <c r="D168" t="b">
        <v>0</v>
      </c>
      <c r="E168" t="s">
        <v>548</v>
      </c>
      <c r="F168" t="s">
        <v>532</v>
      </c>
      <c r="G168" t="s">
        <v>3</v>
      </c>
      <c r="H168">
        <v>58</v>
      </c>
      <c r="I168">
        <v>0.6482</v>
      </c>
      <c r="J168">
        <v>0.81240000000000001</v>
      </c>
      <c r="K168">
        <v>1.8303</v>
      </c>
      <c r="L168">
        <v>0.52249999999999996</v>
      </c>
    </row>
    <row r="169" spans="1:12">
      <c r="A169" t="s">
        <v>556</v>
      </c>
      <c r="B169">
        <v>0.5</v>
      </c>
      <c r="C169">
        <v>128</v>
      </c>
      <c r="D169" t="b">
        <v>0</v>
      </c>
      <c r="E169" t="s">
        <v>548</v>
      </c>
      <c r="F169" t="s">
        <v>531</v>
      </c>
      <c r="G169" t="s">
        <v>1</v>
      </c>
      <c r="H169">
        <v>59</v>
      </c>
      <c r="I169">
        <v>0.3569</v>
      </c>
      <c r="J169">
        <v>0.89219999999999999</v>
      </c>
      <c r="K169">
        <v>2.048</v>
      </c>
      <c r="L169">
        <v>0.52249999999999996</v>
      </c>
    </row>
    <row r="170" spans="1:12">
      <c r="A170" t="s">
        <v>556</v>
      </c>
      <c r="B170">
        <v>0.5</v>
      </c>
      <c r="C170">
        <v>256</v>
      </c>
      <c r="D170" t="b">
        <v>0</v>
      </c>
      <c r="E170" t="s">
        <v>548</v>
      </c>
      <c r="F170" t="s">
        <v>531</v>
      </c>
      <c r="G170" t="s">
        <v>5</v>
      </c>
      <c r="H170">
        <v>117</v>
      </c>
      <c r="I170">
        <v>0.22239999999999999</v>
      </c>
      <c r="J170">
        <v>0.93259999999999998</v>
      </c>
      <c r="K170">
        <v>2.1109</v>
      </c>
      <c r="L170">
        <v>0.52249999999999996</v>
      </c>
    </row>
    <row r="171" spans="1:12">
      <c r="A171" t="s">
        <v>556</v>
      </c>
      <c r="B171">
        <v>0.1</v>
      </c>
      <c r="C171">
        <v>256</v>
      </c>
      <c r="D171" t="b">
        <v>0</v>
      </c>
      <c r="E171" t="s">
        <v>548</v>
      </c>
      <c r="F171" t="s">
        <v>531</v>
      </c>
      <c r="G171" t="s">
        <v>1</v>
      </c>
      <c r="H171">
        <v>116</v>
      </c>
      <c r="I171">
        <v>0.18840000000000001</v>
      </c>
      <c r="J171">
        <v>0.94330000000000003</v>
      </c>
      <c r="K171">
        <v>2.2235999999999998</v>
      </c>
      <c r="L171">
        <v>0.52200000000000002</v>
      </c>
    </row>
    <row r="172" spans="1:12">
      <c r="A172" t="s">
        <v>556</v>
      </c>
      <c r="B172">
        <v>0.3</v>
      </c>
      <c r="C172">
        <v>64</v>
      </c>
      <c r="D172" t="b">
        <v>0</v>
      </c>
      <c r="E172" t="s">
        <v>547</v>
      </c>
      <c r="F172" t="s">
        <v>531</v>
      </c>
      <c r="G172" t="s">
        <v>2</v>
      </c>
      <c r="H172">
        <v>36</v>
      </c>
      <c r="I172">
        <v>0.31680000000000003</v>
      </c>
      <c r="J172">
        <v>0.9143</v>
      </c>
      <c r="K172">
        <v>2.0871</v>
      </c>
      <c r="L172">
        <v>0.52200000000000002</v>
      </c>
    </row>
    <row r="173" spans="1:12">
      <c r="A173" t="s">
        <v>556</v>
      </c>
      <c r="B173">
        <v>0.3</v>
      </c>
      <c r="C173">
        <v>64</v>
      </c>
      <c r="D173" t="b">
        <v>0</v>
      </c>
      <c r="E173" t="s">
        <v>548</v>
      </c>
      <c r="F173" t="s">
        <v>532</v>
      </c>
      <c r="G173" t="s">
        <v>1</v>
      </c>
      <c r="H173">
        <v>35</v>
      </c>
      <c r="I173">
        <v>0.96550000000000002</v>
      </c>
      <c r="J173">
        <v>0.70899999999999996</v>
      </c>
      <c r="K173">
        <v>1.8015000000000001</v>
      </c>
      <c r="L173">
        <v>0.52149999999999996</v>
      </c>
    </row>
    <row r="174" spans="1:12">
      <c r="A174" t="s">
        <v>556</v>
      </c>
      <c r="B174">
        <v>0.5</v>
      </c>
      <c r="C174">
        <v>128</v>
      </c>
      <c r="D174" t="b">
        <v>0</v>
      </c>
      <c r="E174" t="s">
        <v>548</v>
      </c>
      <c r="F174" t="s">
        <v>531</v>
      </c>
      <c r="G174" t="s">
        <v>4</v>
      </c>
      <c r="H174">
        <v>59</v>
      </c>
      <c r="I174">
        <v>0.25840000000000002</v>
      </c>
      <c r="J174">
        <v>0.91949999999999998</v>
      </c>
      <c r="K174">
        <v>2.2275999999999998</v>
      </c>
      <c r="L174">
        <v>0.52149999999999996</v>
      </c>
    </row>
    <row r="175" spans="1:12">
      <c r="A175" t="s">
        <v>556</v>
      </c>
      <c r="B175">
        <v>0.1</v>
      </c>
      <c r="C175">
        <v>64</v>
      </c>
      <c r="D175" t="b">
        <v>0</v>
      </c>
      <c r="E175" t="s">
        <v>548</v>
      </c>
      <c r="F175" t="s">
        <v>532</v>
      </c>
      <c r="G175" t="s">
        <v>3</v>
      </c>
      <c r="H175">
        <v>32</v>
      </c>
      <c r="I175">
        <v>0.65300000000000002</v>
      </c>
      <c r="J175">
        <v>0.80630000000000002</v>
      </c>
      <c r="K175">
        <v>1.9233</v>
      </c>
      <c r="L175">
        <v>0.52049999999999996</v>
      </c>
    </row>
    <row r="176" spans="1:12">
      <c r="A176" t="s">
        <v>556</v>
      </c>
      <c r="B176">
        <v>0.3</v>
      </c>
      <c r="C176">
        <v>64</v>
      </c>
      <c r="D176" t="b">
        <v>0</v>
      </c>
      <c r="E176" t="s">
        <v>547</v>
      </c>
      <c r="F176" t="s">
        <v>531</v>
      </c>
      <c r="G176" t="s">
        <v>1</v>
      </c>
      <c r="H176">
        <v>35</v>
      </c>
      <c r="I176">
        <v>0.36449999999999999</v>
      </c>
      <c r="J176">
        <v>0.89900000000000002</v>
      </c>
      <c r="K176">
        <v>2.0186999999999999</v>
      </c>
      <c r="L176">
        <v>0.52</v>
      </c>
    </row>
    <row r="177" spans="1:12">
      <c r="A177" t="s">
        <v>556</v>
      </c>
      <c r="B177">
        <v>0.1</v>
      </c>
      <c r="C177">
        <v>256</v>
      </c>
      <c r="D177" t="b">
        <v>0</v>
      </c>
      <c r="E177" t="s">
        <v>548</v>
      </c>
      <c r="F177" t="s">
        <v>532</v>
      </c>
      <c r="G177" t="s">
        <v>2</v>
      </c>
      <c r="H177">
        <v>120</v>
      </c>
      <c r="I177">
        <v>0.61050000000000004</v>
      </c>
      <c r="J177">
        <v>0.81730000000000003</v>
      </c>
      <c r="K177">
        <v>1.8482000000000001</v>
      </c>
      <c r="L177">
        <v>0.51949999999999996</v>
      </c>
    </row>
    <row r="178" spans="1:12">
      <c r="A178" t="s">
        <v>556</v>
      </c>
      <c r="B178">
        <v>0.1</v>
      </c>
      <c r="C178">
        <v>256</v>
      </c>
      <c r="D178" t="b">
        <v>0</v>
      </c>
      <c r="E178" t="s">
        <v>547</v>
      </c>
      <c r="F178" t="s">
        <v>531</v>
      </c>
      <c r="G178" t="s">
        <v>2</v>
      </c>
      <c r="H178">
        <v>116</v>
      </c>
      <c r="I178">
        <v>0.193</v>
      </c>
      <c r="J178">
        <v>0.94340000000000002</v>
      </c>
      <c r="K178">
        <v>2.1554000000000002</v>
      </c>
      <c r="L178">
        <v>0.51949999999999996</v>
      </c>
    </row>
    <row r="179" spans="1:12">
      <c r="A179" t="s">
        <v>556</v>
      </c>
      <c r="B179">
        <v>0.5</v>
      </c>
      <c r="C179">
        <v>64</v>
      </c>
      <c r="D179" t="b">
        <v>0</v>
      </c>
      <c r="E179" t="s">
        <v>548</v>
      </c>
      <c r="F179" t="s">
        <v>531</v>
      </c>
      <c r="G179" t="s">
        <v>1</v>
      </c>
      <c r="H179">
        <v>37</v>
      </c>
      <c r="I179">
        <v>0.42230000000000001</v>
      </c>
      <c r="J179">
        <v>0.878</v>
      </c>
      <c r="K179">
        <v>2.0956000000000001</v>
      </c>
      <c r="L179">
        <v>0.51949999999999996</v>
      </c>
    </row>
    <row r="180" spans="1:12">
      <c r="A180" t="s">
        <v>556</v>
      </c>
      <c r="B180">
        <v>0.5</v>
      </c>
      <c r="C180">
        <v>64</v>
      </c>
      <c r="D180" t="b">
        <v>0</v>
      </c>
      <c r="E180" t="s">
        <v>547</v>
      </c>
      <c r="F180" t="s">
        <v>532</v>
      </c>
      <c r="G180" t="s">
        <v>1</v>
      </c>
      <c r="H180">
        <v>40</v>
      </c>
      <c r="I180">
        <v>1.2938000000000001</v>
      </c>
      <c r="J180">
        <v>0.61050000000000004</v>
      </c>
      <c r="K180">
        <v>1.7628999999999999</v>
      </c>
      <c r="L180">
        <v>0.51949999999999996</v>
      </c>
    </row>
    <row r="181" spans="1:12">
      <c r="A181" t="s">
        <v>556</v>
      </c>
      <c r="B181">
        <v>0.1</v>
      </c>
      <c r="C181">
        <v>256</v>
      </c>
      <c r="D181" t="b">
        <v>0</v>
      </c>
      <c r="E181" t="s">
        <v>548</v>
      </c>
      <c r="F181" t="s">
        <v>531</v>
      </c>
      <c r="G181" t="s">
        <v>0</v>
      </c>
      <c r="H181">
        <v>117</v>
      </c>
      <c r="I181">
        <v>0.23910000000000001</v>
      </c>
      <c r="J181">
        <v>0.93089999999999995</v>
      </c>
      <c r="K181">
        <v>2.0981000000000001</v>
      </c>
      <c r="L181">
        <v>0.51849999999999996</v>
      </c>
    </row>
    <row r="182" spans="1:12">
      <c r="A182" t="s">
        <v>556</v>
      </c>
      <c r="B182">
        <v>0.1</v>
      </c>
      <c r="C182">
        <v>256</v>
      </c>
      <c r="D182" t="b">
        <v>0</v>
      </c>
      <c r="E182" t="s">
        <v>547</v>
      </c>
      <c r="F182" t="s">
        <v>531</v>
      </c>
      <c r="G182" t="s">
        <v>4</v>
      </c>
      <c r="H182">
        <v>116</v>
      </c>
      <c r="I182">
        <v>0.1578</v>
      </c>
      <c r="J182">
        <v>0.95269999999999999</v>
      </c>
      <c r="K182">
        <v>2.2206000000000001</v>
      </c>
      <c r="L182">
        <v>0.51849999999999996</v>
      </c>
    </row>
    <row r="183" spans="1:12">
      <c r="A183" t="s">
        <v>556</v>
      </c>
      <c r="B183">
        <v>0.3</v>
      </c>
      <c r="C183">
        <v>128</v>
      </c>
      <c r="D183" t="b">
        <v>0</v>
      </c>
      <c r="E183" t="s">
        <v>548</v>
      </c>
      <c r="F183" t="s">
        <v>531</v>
      </c>
      <c r="G183" t="s">
        <v>4</v>
      </c>
      <c r="H183">
        <v>58</v>
      </c>
      <c r="I183">
        <v>0.1915</v>
      </c>
      <c r="J183">
        <v>0.94689999999999996</v>
      </c>
      <c r="K183">
        <v>2.2338</v>
      </c>
      <c r="L183">
        <v>0.51849999999999996</v>
      </c>
    </row>
    <row r="184" spans="1:12">
      <c r="A184" t="s">
        <v>556</v>
      </c>
      <c r="B184">
        <v>0.1</v>
      </c>
      <c r="C184">
        <v>128</v>
      </c>
      <c r="D184" t="b">
        <v>0</v>
      </c>
      <c r="E184" t="s">
        <v>548</v>
      </c>
      <c r="F184" t="s">
        <v>532</v>
      </c>
      <c r="G184" t="s">
        <v>3</v>
      </c>
      <c r="H184">
        <v>58</v>
      </c>
      <c r="I184">
        <v>0.54379999999999995</v>
      </c>
      <c r="J184">
        <v>0.84</v>
      </c>
      <c r="K184">
        <v>1.9176</v>
      </c>
      <c r="L184">
        <v>0.51700000000000002</v>
      </c>
    </row>
    <row r="185" spans="1:12">
      <c r="A185" t="s">
        <v>556</v>
      </c>
      <c r="B185">
        <v>0.5</v>
      </c>
      <c r="C185">
        <v>128</v>
      </c>
      <c r="D185" t="b">
        <v>0</v>
      </c>
      <c r="E185" t="s">
        <v>548</v>
      </c>
      <c r="F185" t="s">
        <v>531</v>
      </c>
      <c r="G185" t="s">
        <v>0</v>
      </c>
      <c r="H185">
        <v>59</v>
      </c>
      <c r="I185">
        <v>0.42249999999999999</v>
      </c>
      <c r="J185">
        <v>0.875</v>
      </c>
      <c r="K185">
        <v>2.0407999999999999</v>
      </c>
      <c r="L185">
        <v>0.51649999999999996</v>
      </c>
    </row>
    <row r="186" spans="1:12">
      <c r="A186" t="s">
        <v>556</v>
      </c>
      <c r="B186">
        <v>0.1</v>
      </c>
      <c r="C186">
        <v>128</v>
      </c>
      <c r="D186" t="b">
        <v>0</v>
      </c>
      <c r="E186" t="s">
        <v>548</v>
      </c>
      <c r="F186" t="s">
        <v>531</v>
      </c>
      <c r="G186" t="s">
        <v>3</v>
      </c>
      <c r="H186">
        <v>64</v>
      </c>
      <c r="I186">
        <v>0.16250000000000001</v>
      </c>
      <c r="J186">
        <v>0.95430000000000004</v>
      </c>
      <c r="K186">
        <v>2.3170999999999999</v>
      </c>
      <c r="L186">
        <v>0.51600000000000001</v>
      </c>
    </row>
    <row r="187" spans="1:12">
      <c r="A187" t="s">
        <v>556</v>
      </c>
      <c r="B187">
        <v>0.1</v>
      </c>
      <c r="C187">
        <v>256</v>
      </c>
      <c r="D187" t="b">
        <v>0</v>
      </c>
      <c r="E187" t="s">
        <v>548</v>
      </c>
      <c r="F187" t="s">
        <v>532</v>
      </c>
      <c r="G187" t="s">
        <v>3</v>
      </c>
      <c r="H187">
        <v>117</v>
      </c>
      <c r="I187">
        <v>0.53100000000000003</v>
      </c>
      <c r="J187">
        <v>0.83850000000000002</v>
      </c>
      <c r="K187">
        <v>1.8963000000000001</v>
      </c>
      <c r="L187">
        <v>0.51549999999999996</v>
      </c>
    </row>
    <row r="188" spans="1:12">
      <c r="A188" t="s">
        <v>556</v>
      </c>
      <c r="B188">
        <v>0.3</v>
      </c>
      <c r="C188">
        <v>64</v>
      </c>
      <c r="D188" t="b">
        <v>0</v>
      </c>
      <c r="E188" t="s">
        <v>548</v>
      </c>
      <c r="F188" t="s">
        <v>531</v>
      </c>
      <c r="G188" t="s">
        <v>0</v>
      </c>
      <c r="H188">
        <v>35</v>
      </c>
      <c r="I188">
        <v>0.38450000000000001</v>
      </c>
      <c r="J188">
        <v>0.89180000000000004</v>
      </c>
      <c r="K188">
        <v>2.1171000000000002</v>
      </c>
      <c r="L188">
        <v>0.51500000000000001</v>
      </c>
    </row>
    <row r="189" spans="1:12">
      <c r="A189" t="s">
        <v>556</v>
      </c>
      <c r="B189">
        <v>0.1</v>
      </c>
      <c r="C189">
        <v>64</v>
      </c>
      <c r="D189" t="b">
        <v>0</v>
      </c>
      <c r="E189" t="s">
        <v>547</v>
      </c>
      <c r="F189" t="s">
        <v>531</v>
      </c>
      <c r="G189" t="s">
        <v>2</v>
      </c>
      <c r="H189">
        <v>36</v>
      </c>
      <c r="I189">
        <v>0.25619999999999998</v>
      </c>
      <c r="J189">
        <v>0.9284</v>
      </c>
      <c r="K189">
        <v>2.2572999999999999</v>
      </c>
      <c r="L189">
        <v>0.51449999999999996</v>
      </c>
    </row>
    <row r="190" spans="1:12">
      <c r="A190" t="s">
        <v>556</v>
      </c>
      <c r="B190">
        <v>0.1</v>
      </c>
      <c r="C190">
        <v>128</v>
      </c>
      <c r="D190" t="b">
        <v>0</v>
      </c>
      <c r="E190" t="s">
        <v>548</v>
      </c>
      <c r="F190" t="s">
        <v>531</v>
      </c>
      <c r="G190" t="s">
        <v>5</v>
      </c>
      <c r="H190">
        <v>64</v>
      </c>
      <c r="I190">
        <v>0.13669999999999999</v>
      </c>
      <c r="J190">
        <v>0.95899999999999996</v>
      </c>
      <c r="K190">
        <v>2.4036</v>
      </c>
      <c r="L190">
        <v>0.51449999999999996</v>
      </c>
    </row>
    <row r="191" spans="1:12">
      <c r="A191" t="s">
        <v>556</v>
      </c>
      <c r="B191">
        <v>0.1</v>
      </c>
      <c r="C191">
        <v>64</v>
      </c>
      <c r="D191" t="b">
        <v>0</v>
      </c>
      <c r="E191" t="s">
        <v>548</v>
      </c>
      <c r="F191" t="s">
        <v>531</v>
      </c>
      <c r="G191" t="s">
        <v>4</v>
      </c>
      <c r="H191">
        <v>30</v>
      </c>
      <c r="I191">
        <v>0.1618</v>
      </c>
      <c r="J191">
        <v>0.95440000000000003</v>
      </c>
      <c r="K191">
        <v>2.3856999999999999</v>
      </c>
      <c r="L191">
        <v>0.51400000000000001</v>
      </c>
    </row>
    <row r="192" spans="1:12">
      <c r="A192" t="s">
        <v>556</v>
      </c>
      <c r="B192">
        <v>0.5</v>
      </c>
      <c r="C192">
        <v>64</v>
      </c>
      <c r="D192" t="b">
        <v>0</v>
      </c>
      <c r="E192" t="s">
        <v>547</v>
      </c>
      <c r="F192" t="s">
        <v>532</v>
      </c>
      <c r="G192" t="s">
        <v>0</v>
      </c>
      <c r="H192">
        <v>39</v>
      </c>
      <c r="I192">
        <v>1.3940999999999999</v>
      </c>
      <c r="J192">
        <v>0.58499999999999996</v>
      </c>
      <c r="K192">
        <v>1.7745</v>
      </c>
      <c r="L192">
        <v>0.51349999999999996</v>
      </c>
    </row>
    <row r="193" spans="1:12">
      <c r="A193" t="s">
        <v>556</v>
      </c>
      <c r="B193">
        <v>0.3</v>
      </c>
      <c r="C193">
        <v>64</v>
      </c>
      <c r="D193" t="b">
        <v>0</v>
      </c>
      <c r="E193" t="s">
        <v>548</v>
      </c>
      <c r="F193" t="s">
        <v>532</v>
      </c>
      <c r="G193" t="s">
        <v>0</v>
      </c>
      <c r="H193">
        <v>34</v>
      </c>
      <c r="I193">
        <v>1.0279</v>
      </c>
      <c r="J193">
        <v>0.69399999999999995</v>
      </c>
      <c r="K193">
        <v>1.8152999999999999</v>
      </c>
      <c r="L193">
        <v>0.51249999999999996</v>
      </c>
    </row>
    <row r="194" spans="1:12">
      <c r="A194" t="s">
        <v>556</v>
      </c>
      <c r="B194">
        <v>0.5</v>
      </c>
      <c r="C194">
        <v>64</v>
      </c>
      <c r="D194" t="b">
        <v>0</v>
      </c>
      <c r="E194" t="s">
        <v>548</v>
      </c>
      <c r="F194" t="s">
        <v>532</v>
      </c>
      <c r="G194" t="s">
        <v>0</v>
      </c>
      <c r="H194">
        <v>36</v>
      </c>
      <c r="I194">
        <v>1.1944999999999999</v>
      </c>
      <c r="J194">
        <v>0.64339999999999997</v>
      </c>
      <c r="K194">
        <v>1.7955000000000001</v>
      </c>
      <c r="L194">
        <v>0.51249999999999996</v>
      </c>
    </row>
    <row r="195" spans="1:12">
      <c r="A195" t="s">
        <v>556</v>
      </c>
      <c r="B195">
        <v>0.1</v>
      </c>
      <c r="C195">
        <v>64</v>
      </c>
      <c r="D195" t="b">
        <v>0</v>
      </c>
      <c r="E195" t="s">
        <v>547</v>
      </c>
      <c r="F195" t="s">
        <v>531</v>
      </c>
      <c r="G195" t="s">
        <v>4</v>
      </c>
      <c r="H195">
        <v>32</v>
      </c>
      <c r="I195">
        <v>0.22309999999999999</v>
      </c>
      <c r="J195">
        <v>0.93740000000000001</v>
      </c>
      <c r="K195">
        <v>2.3147000000000002</v>
      </c>
      <c r="L195">
        <v>0.51200000000000001</v>
      </c>
    </row>
    <row r="196" spans="1:12">
      <c r="A196" t="s">
        <v>556</v>
      </c>
      <c r="B196">
        <v>0.1</v>
      </c>
      <c r="C196">
        <v>256</v>
      </c>
      <c r="D196" t="b">
        <v>0</v>
      </c>
      <c r="E196" t="s">
        <v>548</v>
      </c>
      <c r="F196" t="s">
        <v>531</v>
      </c>
      <c r="G196" t="s">
        <v>5</v>
      </c>
      <c r="H196">
        <v>117</v>
      </c>
      <c r="I196">
        <v>0.13550000000000001</v>
      </c>
      <c r="J196">
        <v>0.96130000000000004</v>
      </c>
      <c r="K196">
        <v>2.3530000000000002</v>
      </c>
      <c r="L196">
        <v>0.51149999999999995</v>
      </c>
    </row>
    <row r="197" spans="1:12">
      <c r="A197" t="s">
        <v>556</v>
      </c>
      <c r="B197">
        <v>0.1</v>
      </c>
      <c r="C197">
        <v>64</v>
      </c>
      <c r="D197" t="b">
        <v>0</v>
      </c>
      <c r="E197" t="s">
        <v>547</v>
      </c>
      <c r="F197" t="s">
        <v>531</v>
      </c>
      <c r="G197" t="s">
        <v>3</v>
      </c>
      <c r="H197">
        <v>33</v>
      </c>
      <c r="I197">
        <v>0.2281</v>
      </c>
      <c r="J197">
        <v>0.93769999999999998</v>
      </c>
      <c r="K197">
        <v>2.3027000000000002</v>
      </c>
      <c r="L197">
        <v>0.51100000000000001</v>
      </c>
    </row>
    <row r="198" spans="1:12">
      <c r="A198" t="s">
        <v>556</v>
      </c>
      <c r="B198">
        <v>0.3</v>
      </c>
      <c r="C198">
        <v>64</v>
      </c>
      <c r="D198" t="b">
        <v>0</v>
      </c>
      <c r="E198" t="s">
        <v>547</v>
      </c>
      <c r="F198" t="s">
        <v>531</v>
      </c>
      <c r="G198" t="s">
        <v>4</v>
      </c>
      <c r="H198">
        <v>39</v>
      </c>
      <c r="I198">
        <v>0.25690000000000002</v>
      </c>
      <c r="J198">
        <v>0.93030000000000002</v>
      </c>
      <c r="K198">
        <v>2.2242000000000002</v>
      </c>
      <c r="L198">
        <v>0.51100000000000001</v>
      </c>
    </row>
    <row r="199" spans="1:12">
      <c r="A199" t="s">
        <v>556</v>
      </c>
      <c r="B199">
        <v>0.1</v>
      </c>
      <c r="C199">
        <v>64</v>
      </c>
      <c r="D199" t="b">
        <v>0</v>
      </c>
      <c r="E199" t="s">
        <v>548</v>
      </c>
      <c r="F199" t="s">
        <v>531</v>
      </c>
      <c r="G199" t="s">
        <v>1</v>
      </c>
      <c r="H199">
        <v>30</v>
      </c>
      <c r="I199">
        <v>0.22639999999999999</v>
      </c>
      <c r="J199">
        <v>0.93589999999999995</v>
      </c>
      <c r="K199">
        <v>2.4148000000000001</v>
      </c>
      <c r="L199">
        <v>0.50949999999999995</v>
      </c>
    </row>
    <row r="200" spans="1:12">
      <c r="A200" t="s">
        <v>556</v>
      </c>
      <c r="B200">
        <v>0.1</v>
      </c>
      <c r="C200">
        <v>64</v>
      </c>
      <c r="D200" t="b">
        <v>0</v>
      </c>
      <c r="E200" t="s">
        <v>548</v>
      </c>
      <c r="F200" t="s">
        <v>531</v>
      </c>
      <c r="G200" t="s">
        <v>3</v>
      </c>
      <c r="H200">
        <v>30</v>
      </c>
      <c r="I200">
        <v>0.1701</v>
      </c>
      <c r="J200">
        <v>0.95240000000000002</v>
      </c>
      <c r="K200">
        <v>2.3706999999999998</v>
      </c>
      <c r="L200">
        <v>0.50949999999999995</v>
      </c>
    </row>
    <row r="201" spans="1:12">
      <c r="A201" t="s">
        <v>556</v>
      </c>
      <c r="B201">
        <v>0.1</v>
      </c>
      <c r="C201">
        <v>64</v>
      </c>
      <c r="D201" t="b">
        <v>0</v>
      </c>
      <c r="E201" t="s">
        <v>548</v>
      </c>
      <c r="F201" t="s">
        <v>531</v>
      </c>
      <c r="G201" t="s">
        <v>5</v>
      </c>
      <c r="H201">
        <v>30</v>
      </c>
      <c r="I201">
        <v>0.14480000000000001</v>
      </c>
      <c r="J201">
        <v>0.96099999999999997</v>
      </c>
      <c r="K201">
        <v>2.42</v>
      </c>
      <c r="L201">
        <v>0.50949999999999995</v>
      </c>
    </row>
    <row r="202" spans="1:12">
      <c r="A202" t="s">
        <v>556</v>
      </c>
      <c r="B202">
        <v>0.3</v>
      </c>
      <c r="C202">
        <v>64</v>
      </c>
      <c r="D202" t="b">
        <v>0</v>
      </c>
      <c r="E202" t="s">
        <v>548</v>
      </c>
      <c r="F202" t="s">
        <v>531</v>
      </c>
      <c r="G202" t="s">
        <v>3</v>
      </c>
      <c r="H202">
        <v>35</v>
      </c>
      <c r="I202">
        <v>0.25119999999999998</v>
      </c>
      <c r="J202">
        <v>0.9284</v>
      </c>
      <c r="K202">
        <v>2.3551000000000002</v>
      </c>
      <c r="L202">
        <v>0.50949999999999995</v>
      </c>
    </row>
    <row r="203" spans="1:12">
      <c r="A203" t="s">
        <v>556</v>
      </c>
      <c r="B203">
        <v>0.3</v>
      </c>
      <c r="C203">
        <v>64</v>
      </c>
      <c r="D203" t="b">
        <v>0</v>
      </c>
      <c r="E203" t="s">
        <v>547</v>
      </c>
      <c r="F203" t="s">
        <v>531</v>
      </c>
      <c r="G203" t="s">
        <v>5</v>
      </c>
      <c r="H203">
        <v>34</v>
      </c>
      <c r="I203">
        <v>0.22209999999999999</v>
      </c>
      <c r="J203">
        <v>0.93910000000000005</v>
      </c>
      <c r="K203">
        <v>2.3071000000000002</v>
      </c>
      <c r="L203">
        <v>0.50949999999999995</v>
      </c>
    </row>
    <row r="204" spans="1:12">
      <c r="A204" t="s">
        <v>556</v>
      </c>
      <c r="B204">
        <v>0.1</v>
      </c>
      <c r="C204">
        <v>128</v>
      </c>
      <c r="D204" t="b">
        <v>0</v>
      </c>
      <c r="E204" t="s">
        <v>548</v>
      </c>
      <c r="F204" t="s">
        <v>531</v>
      </c>
      <c r="G204" t="s">
        <v>0</v>
      </c>
      <c r="H204">
        <v>57</v>
      </c>
      <c r="I204">
        <v>0.24229999999999999</v>
      </c>
      <c r="J204">
        <v>0.92989999999999995</v>
      </c>
      <c r="K204">
        <v>2.2473999999999998</v>
      </c>
      <c r="L204">
        <v>0.50900000000000001</v>
      </c>
    </row>
    <row r="205" spans="1:12">
      <c r="A205" t="s">
        <v>556</v>
      </c>
      <c r="B205">
        <v>0.3</v>
      </c>
      <c r="C205">
        <v>64</v>
      </c>
      <c r="D205" t="b">
        <v>0</v>
      </c>
      <c r="E205" t="s">
        <v>548</v>
      </c>
      <c r="F205" t="s">
        <v>531</v>
      </c>
      <c r="G205" t="s">
        <v>2</v>
      </c>
      <c r="H205">
        <v>34</v>
      </c>
      <c r="I205">
        <v>0.29139999999999999</v>
      </c>
      <c r="J205">
        <v>0.91490000000000005</v>
      </c>
      <c r="K205">
        <v>2.2854999999999999</v>
      </c>
      <c r="L205">
        <v>0.50900000000000001</v>
      </c>
    </row>
    <row r="206" spans="1:12">
      <c r="A206" t="s">
        <v>556</v>
      </c>
      <c r="B206">
        <v>0.3</v>
      </c>
      <c r="C206">
        <v>128</v>
      </c>
      <c r="D206" t="b">
        <v>0</v>
      </c>
      <c r="E206" t="s">
        <v>548</v>
      </c>
      <c r="F206" t="s">
        <v>531</v>
      </c>
      <c r="G206" t="s">
        <v>0</v>
      </c>
      <c r="H206">
        <v>59</v>
      </c>
      <c r="I206">
        <v>0.28910000000000002</v>
      </c>
      <c r="J206">
        <v>0.91520000000000001</v>
      </c>
      <c r="K206">
        <v>2.1934</v>
      </c>
      <c r="L206">
        <v>0.50800000000000001</v>
      </c>
    </row>
    <row r="207" spans="1:12">
      <c r="A207" t="s">
        <v>556</v>
      </c>
      <c r="B207">
        <v>0.1</v>
      </c>
      <c r="C207">
        <v>64</v>
      </c>
      <c r="D207" t="b">
        <v>0</v>
      </c>
      <c r="E207" t="s">
        <v>547</v>
      </c>
      <c r="F207" t="s">
        <v>531</v>
      </c>
      <c r="G207" t="s">
        <v>0</v>
      </c>
      <c r="H207">
        <v>37</v>
      </c>
      <c r="I207">
        <v>0.33350000000000002</v>
      </c>
      <c r="J207">
        <v>0.90849999999999997</v>
      </c>
      <c r="K207">
        <v>2.1854</v>
      </c>
      <c r="L207">
        <v>0.50749999999999995</v>
      </c>
    </row>
    <row r="208" spans="1:12">
      <c r="A208" t="s">
        <v>556</v>
      </c>
      <c r="B208">
        <v>0.1</v>
      </c>
      <c r="C208">
        <v>64</v>
      </c>
      <c r="D208" t="b">
        <v>0</v>
      </c>
      <c r="E208" t="s">
        <v>547</v>
      </c>
      <c r="F208" t="s">
        <v>531</v>
      </c>
      <c r="G208" t="s">
        <v>1</v>
      </c>
      <c r="H208">
        <v>37</v>
      </c>
      <c r="I208">
        <v>0.29220000000000002</v>
      </c>
      <c r="J208">
        <v>0.91679999999999995</v>
      </c>
      <c r="K208">
        <v>2.2437999999999998</v>
      </c>
      <c r="L208">
        <v>0.50600000000000001</v>
      </c>
    </row>
    <row r="209" spans="1:12">
      <c r="A209" t="s">
        <v>556</v>
      </c>
      <c r="B209">
        <v>0.5</v>
      </c>
      <c r="C209">
        <v>64</v>
      </c>
      <c r="D209" t="b">
        <v>0</v>
      </c>
      <c r="E209" t="s">
        <v>548</v>
      </c>
      <c r="F209" t="s">
        <v>531</v>
      </c>
      <c r="G209" t="s">
        <v>2</v>
      </c>
      <c r="H209">
        <v>37</v>
      </c>
      <c r="I209">
        <v>0.38030000000000003</v>
      </c>
      <c r="J209">
        <v>0.8861</v>
      </c>
      <c r="K209">
        <v>2.1419000000000001</v>
      </c>
      <c r="L209">
        <v>0.50549999999999995</v>
      </c>
    </row>
    <row r="210" spans="1:12">
      <c r="A210" t="s">
        <v>556</v>
      </c>
      <c r="B210">
        <v>0.1</v>
      </c>
      <c r="C210">
        <v>128</v>
      </c>
      <c r="D210" t="b">
        <v>0</v>
      </c>
      <c r="E210" t="s">
        <v>548</v>
      </c>
      <c r="F210" t="s">
        <v>531</v>
      </c>
      <c r="G210" t="s">
        <v>4</v>
      </c>
      <c r="H210">
        <v>63</v>
      </c>
      <c r="I210">
        <v>0.15049999999999999</v>
      </c>
      <c r="J210">
        <v>0.95540000000000003</v>
      </c>
      <c r="K210">
        <v>2.3990999999999998</v>
      </c>
      <c r="L210">
        <v>0.50349999999999995</v>
      </c>
    </row>
    <row r="211" spans="1:12">
      <c r="A211" t="s">
        <v>556</v>
      </c>
      <c r="B211">
        <v>0.3</v>
      </c>
      <c r="C211">
        <v>64</v>
      </c>
      <c r="D211" t="b">
        <v>0</v>
      </c>
      <c r="E211" t="s">
        <v>548</v>
      </c>
      <c r="F211" t="s">
        <v>531</v>
      </c>
      <c r="G211" t="s">
        <v>5</v>
      </c>
      <c r="H211">
        <v>36</v>
      </c>
      <c r="I211">
        <v>0.22189999999999999</v>
      </c>
      <c r="J211">
        <v>0.93859999999999999</v>
      </c>
      <c r="K211">
        <v>2.3974000000000002</v>
      </c>
      <c r="L211">
        <v>0.503</v>
      </c>
    </row>
    <row r="212" spans="1:12">
      <c r="A212" t="s">
        <v>556</v>
      </c>
      <c r="B212">
        <v>0.5</v>
      </c>
      <c r="C212">
        <v>64</v>
      </c>
      <c r="D212" t="b">
        <v>0</v>
      </c>
      <c r="E212" t="s">
        <v>548</v>
      </c>
      <c r="F212" t="s">
        <v>531</v>
      </c>
      <c r="G212" t="s">
        <v>3</v>
      </c>
      <c r="H212">
        <v>37</v>
      </c>
      <c r="I212">
        <v>0.34089999999999998</v>
      </c>
      <c r="J212">
        <v>0.90159999999999996</v>
      </c>
      <c r="K212">
        <v>2.2450999999999999</v>
      </c>
      <c r="L212">
        <v>0.501</v>
      </c>
    </row>
    <row r="213" spans="1:12">
      <c r="A213" t="s">
        <v>556</v>
      </c>
      <c r="B213">
        <v>0.3</v>
      </c>
      <c r="C213">
        <v>64</v>
      </c>
      <c r="D213" t="b">
        <v>0</v>
      </c>
      <c r="E213" t="s">
        <v>548</v>
      </c>
      <c r="F213" t="s">
        <v>531</v>
      </c>
      <c r="G213" t="s">
        <v>1</v>
      </c>
      <c r="H213">
        <v>34</v>
      </c>
      <c r="I213">
        <v>0.33500000000000002</v>
      </c>
      <c r="J213">
        <v>0.90249999999999997</v>
      </c>
      <c r="K213">
        <v>2.2667000000000002</v>
      </c>
      <c r="L213">
        <v>0.4995</v>
      </c>
    </row>
    <row r="214" spans="1:12">
      <c r="A214" t="s">
        <v>556</v>
      </c>
      <c r="B214">
        <v>0.1</v>
      </c>
      <c r="C214">
        <v>64</v>
      </c>
      <c r="D214" t="b">
        <v>0</v>
      </c>
      <c r="E214" t="s">
        <v>547</v>
      </c>
      <c r="F214" t="s">
        <v>531</v>
      </c>
      <c r="G214" t="s">
        <v>5</v>
      </c>
      <c r="H214">
        <v>32</v>
      </c>
      <c r="I214">
        <v>0.20749999999999999</v>
      </c>
      <c r="J214">
        <v>0.94369999999999998</v>
      </c>
      <c r="K214">
        <v>2.3719000000000001</v>
      </c>
      <c r="L214">
        <v>0.499</v>
      </c>
    </row>
    <row r="215" spans="1:12">
      <c r="A215" t="s">
        <v>556</v>
      </c>
      <c r="B215">
        <v>0.1</v>
      </c>
      <c r="C215">
        <v>128</v>
      </c>
      <c r="D215" t="b">
        <v>0</v>
      </c>
      <c r="E215" t="s">
        <v>548</v>
      </c>
      <c r="F215" t="s">
        <v>532</v>
      </c>
      <c r="G215" t="s">
        <v>1</v>
      </c>
      <c r="H215">
        <v>57</v>
      </c>
      <c r="I215">
        <v>0.68400000000000005</v>
      </c>
      <c r="J215">
        <v>0.79849999999999999</v>
      </c>
      <c r="K215">
        <v>2.0958000000000001</v>
      </c>
      <c r="L215">
        <v>0.496</v>
      </c>
    </row>
    <row r="216" spans="1:12">
      <c r="A216" t="s">
        <v>556</v>
      </c>
      <c r="B216">
        <v>0.1</v>
      </c>
      <c r="C216">
        <v>128</v>
      </c>
      <c r="D216" t="b">
        <v>0</v>
      </c>
      <c r="E216" t="s">
        <v>548</v>
      </c>
      <c r="F216" t="s">
        <v>531</v>
      </c>
      <c r="G216" t="s">
        <v>2</v>
      </c>
      <c r="H216">
        <v>63</v>
      </c>
      <c r="I216">
        <v>0.1908</v>
      </c>
      <c r="J216">
        <v>0.94410000000000005</v>
      </c>
      <c r="K216">
        <v>2.4049999999999998</v>
      </c>
      <c r="L216">
        <v>0.4945</v>
      </c>
    </row>
    <row r="217" spans="1:12">
      <c r="A217" t="s">
        <v>556</v>
      </c>
      <c r="B217">
        <v>0.3</v>
      </c>
      <c r="C217">
        <v>64</v>
      </c>
      <c r="D217" t="b">
        <v>0</v>
      </c>
      <c r="E217" t="s">
        <v>548</v>
      </c>
      <c r="F217" t="s">
        <v>531</v>
      </c>
      <c r="G217" t="s">
        <v>4</v>
      </c>
      <c r="H217">
        <v>34</v>
      </c>
      <c r="I217">
        <v>0.23319999999999999</v>
      </c>
      <c r="J217">
        <v>0.93300000000000005</v>
      </c>
      <c r="K217">
        <v>2.4268999999999998</v>
      </c>
      <c r="L217">
        <v>0.49199999999999999</v>
      </c>
    </row>
  </sheetData>
  <autoFilter ref="A1:L217">
    <sortState ref="A2:L217">
      <sortCondition descending="1" ref="L1:L217"/>
    </sortState>
  </autoFilter>
  <pageMargins left="0.75" right="0.75" top="1" bottom="1" header="0.5" footer="0.5"/>
  <pageSetup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433"/>
  <sheetViews>
    <sheetView topLeftCell="A397" workbookViewId="0">
      <selection activeCell="I13" sqref="I13"/>
    </sheetView>
  </sheetViews>
  <sheetFormatPr baseColWidth="10" defaultRowHeight="15" x14ac:dyDescent="0"/>
  <sheetData>
    <row r="1" spans="1:12">
      <c r="A1" s="12" t="s">
        <v>538</v>
      </c>
      <c r="B1" s="12" t="s">
        <v>553</v>
      </c>
      <c r="C1" s="12" t="s">
        <v>529</v>
      </c>
      <c r="D1" s="13" t="s">
        <v>540</v>
      </c>
      <c r="E1" s="12" t="s">
        <v>539</v>
      </c>
      <c r="F1" s="12" t="s">
        <v>530</v>
      </c>
      <c r="G1" s="12" t="s">
        <v>6</v>
      </c>
      <c r="H1" s="12" t="s">
        <v>533</v>
      </c>
      <c r="I1" s="17" t="s">
        <v>536</v>
      </c>
      <c r="J1" s="17" t="s">
        <v>537</v>
      </c>
      <c r="K1" s="17" t="s">
        <v>534</v>
      </c>
      <c r="L1" s="17" t="s">
        <v>535</v>
      </c>
    </row>
    <row r="2" spans="1:12">
      <c r="A2" t="s">
        <v>528</v>
      </c>
      <c r="B2">
        <v>0.5</v>
      </c>
      <c r="C2">
        <v>128</v>
      </c>
      <c r="D2" s="1" t="b">
        <v>0</v>
      </c>
      <c r="E2" t="s">
        <v>548</v>
      </c>
      <c r="F2" t="s">
        <v>532</v>
      </c>
      <c r="G2" t="s">
        <v>2</v>
      </c>
      <c r="H2" s="11">
        <v>73</v>
      </c>
      <c r="I2" s="18">
        <v>1.0187999999999999</v>
      </c>
      <c r="J2" s="18">
        <v>0.69730000000000003</v>
      </c>
      <c r="K2" s="18">
        <v>1.6406000000000001</v>
      </c>
      <c r="L2" s="18">
        <v>0.56850000000000001</v>
      </c>
    </row>
    <row r="3" spans="1:12">
      <c r="A3" t="s">
        <v>528</v>
      </c>
      <c r="B3">
        <v>0.5</v>
      </c>
      <c r="C3">
        <v>64</v>
      </c>
      <c r="D3" s="1" t="b">
        <v>0</v>
      </c>
      <c r="E3" t="s">
        <v>548</v>
      </c>
      <c r="F3" t="s">
        <v>532</v>
      </c>
      <c r="G3" t="s">
        <v>5</v>
      </c>
      <c r="H3" s="11">
        <v>48</v>
      </c>
      <c r="I3" s="18">
        <v>0.86990000000000001</v>
      </c>
      <c r="J3" s="18">
        <v>0.74739999999999995</v>
      </c>
      <c r="K3" s="18">
        <v>1.6950000000000001</v>
      </c>
      <c r="L3" s="18">
        <v>0.56799999999999995</v>
      </c>
    </row>
    <row r="4" spans="1:12">
      <c r="A4" t="s">
        <v>528</v>
      </c>
      <c r="B4">
        <v>0.5</v>
      </c>
      <c r="C4">
        <v>128</v>
      </c>
      <c r="D4" s="1" t="b">
        <v>0</v>
      </c>
      <c r="E4" t="s">
        <v>547</v>
      </c>
      <c r="F4" t="s">
        <v>532</v>
      </c>
      <c r="G4" t="s">
        <v>5</v>
      </c>
      <c r="H4" s="11">
        <v>75</v>
      </c>
      <c r="I4" s="18">
        <v>1.1315</v>
      </c>
      <c r="J4" s="18">
        <v>0.65759999999999996</v>
      </c>
      <c r="K4" s="18">
        <v>1.6637</v>
      </c>
      <c r="L4" s="18">
        <v>0.56699999999999995</v>
      </c>
    </row>
    <row r="5" spans="1:12">
      <c r="A5" t="s">
        <v>528</v>
      </c>
      <c r="B5">
        <v>0.3</v>
      </c>
      <c r="C5">
        <v>64</v>
      </c>
      <c r="D5" s="1" t="b">
        <v>0</v>
      </c>
      <c r="E5" t="s">
        <v>547</v>
      </c>
      <c r="F5" t="s">
        <v>532</v>
      </c>
      <c r="G5" t="s">
        <v>5</v>
      </c>
      <c r="H5" s="11">
        <v>41</v>
      </c>
      <c r="I5" s="18">
        <v>1.0868</v>
      </c>
      <c r="J5" s="18">
        <v>0.67749999999999999</v>
      </c>
      <c r="K5" s="18">
        <v>1.7091000000000001</v>
      </c>
      <c r="L5" s="18">
        <v>0.5635</v>
      </c>
    </row>
    <row r="6" spans="1:12">
      <c r="A6" t="s">
        <v>528</v>
      </c>
      <c r="B6">
        <v>0.3</v>
      </c>
      <c r="C6">
        <v>128</v>
      </c>
      <c r="D6" s="1" t="b">
        <v>0</v>
      </c>
      <c r="E6" t="s">
        <v>548</v>
      </c>
      <c r="F6" t="s">
        <v>532</v>
      </c>
      <c r="G6" t="s">
        <v>1</v>
      </c>
      <c r="H6" s="11">
        <v>73</v>
      </c>
      <c r="I6" s="18">
        <v>0.93379999999999996</v>
      </c>
      <c r="J6" s="18">
        <v>0.7248</v>
      </c>
      <c r="K6" s="18">
        <v>1.6236999999999999</v>
      </c>
      <c r="L6" s="18">
        <v>0.56299999999999994</v>
      </c>
    </row>
    <row r="7" spans="1:12">
      <c r="A7" t="s">
        <v>528</v>
      </c>
      <c r="B7">
        <v>0.3</v>
      </c>
      <c r="C7">
        <v>128</v>
      </c>
      <c r="D7" s="1" t="b">
        <v>0</v>
      </c>
      <c r="E7" t="s">
        <v>547</v>
      </c>
      <c r="F7" t="s">
        <v>532</v>
      </c>
      <c r="G7" t="s">
        <v>5</v>
      </c>
      <c r="H7" s="11">
        <v>70</v>
      </c>
      <c r="I7" s="18">
        <v>0.97889999999999999</v>
      </c>
      <c r="J7" s="18">
        <v>0.71160000000000001</v>
      </c>
      <c r="K7" s="18">
        <v>1.7085999999999999</v>
      </c>
      <c r="L7" s="18">
        <v>0.56100000000000005</v>
      </c>
    </row>
    <row r="8" spans="1:12">
      <c r="A8" t="s">
        <v>528</v>
      </c>
      <c r="B8">
        <v>0.3</v>
      </c>
      <c r="C8">
        <v>128</v>
      </c>
      <c r="D8" s="1" t="b">
        <v>0</v>
      </c>
      <c r="E8" t="s">
        <v>548</v>
      </c>
      <c r="F8" t="s">
        <v>532</v>
      </c>
      <c r="G8" t="s">
        <v>2</v>
      </c>
      <c r="H8" s="11">
        <v>73</v>
      </c>
      <c r="I8" s="18">
        <v>0.86319999999999997</v>
      </c>
      <c r="J8" s="18">
        <v>0.748</v>
      </c>
      <c r="K8" s="18">
        <v>1.659</v>
      </c>
      <c r="L8" s="18">
        <v>0.5605</v>
      </c>
    </row>
    <row r="9" spans="1:12">
      <c r="A9" t="s">
        <v>528</v>
      </c>
      <c r="B9">
        <v>0.1</v>
      </c>
      <c r="C9">
        <v>256</v>
      </c>
      <c r="D9" s="1" t="b">
        <v>0</v>
      </c>
      <c r="E9" t="s">
        <v>547</v>
      </c>
      <c r="F9" t="s">
        <v>532</v>
      </c>
      <c r="G9" t="s">
        <v>3</v>
      </c>
      <c r="H9" s="11">
        <v>150</v>
      </c>
      <c r="I9" s="18">
        <v>1.0213000000000001</v>
      </c>
      <c r="J9" s="18">
        <v>0.69410000000000005</v>
      </c>
      <c r="K9" s="18">
        <v>1.6809000000000001</v>
      </c>
      <c r="L9" s="18">
        <v>0.56000000000000005</v>
      </c>
    </row>
    <row r="10" spans="1:12">
      <c r="A10" t="s">
        <v>528</v>
      </c>
      <c r="B10">
        <v>0.1</v>
      </c>
      <c r="C10">
        <v>64</v>
      </c>
      <c r="D10" s="1" t="b">
        <v>0</v>
      </c>
      <c r="E10" t="s">
        <v>548</v>
      </c>
      <c r="F10" t="s">
        <v>532</v>
      </c>
      <c r="G10" t="s">
        <v>4</v>
      </c>
      <c r="H10" s="11">
        <v>47</v>
      </c>
      <c r="I10" s="18">
        <v>0.66339999999999999</v>
      </c>
      <c r="J10" s="18">
        <v>0.80600000000000005</v>
      </c>
      <c r="K10" s="18">
        <v>1.8407</v>
      </c>
      <c r="L10" s="18">
        <v>0.5595</v>
      </c>
    </row>
    <row r="11" spans="1:12">
      <c r="A11" t="s">
        <v>528</v>
      </c>
      <c r="B11">
        <v>0.3</v>
      </c>
      <c r="C11">
        <v>256</v>
      </c>
      <c r="D11" s="1" t="b">
        <v>0</v>
      </c>
      <c r="E11" t="s">
        <v>548</v>
      </c>
      <c r="F11" t="s">
        <v>532</v>
      </c>
      <c r="G11" t="s">
        <v>5</v>
      </c>
      <c r="H11" s="11">
        <v>146</v>
      </c>
      <c r="I11" s="18">
        <v>0.72060000000000002</v>
      </c>
      <c r="J11" s="18">
        <v>0.78749999999999998</v>
      </c>
      <c r="K11" s="18">
        <v>1.6993</v>
      </c>
      <c r="L11" s="18">
        <v>0.55900000000000005</v>
      </c>
    </row>
    <row r="12" spans="1:12">
      <c r="A12" t="s">
        <v>528</v>
      </c>
      <c r="B12">
        <v>0.5</v>
      </c>
      <c r="C12">
        <v>64</v>
      </c>
      <c r="D12" s="1" t="b">
        <v>0</v>
      </c>
      <c r="E12" t="s">
        <v>548</v>
      </c>
      <c r="F12" t="s">
        <v>532</v>
      </c>
      <c r="G12" t="s">
        <v>3</v>
      </c>
      <c r="H12" s="11">
        <v>49</v>
      </c>
      <c r="I12" s="18">
        <v>0.97230000000000005</v>
      </c>
      <c r="J12" s="18">
        <v>0.71260000000000001</v>
      </c>
      <c r="K12" s="18">
        <v>1.7457</v>
      </c>
      <c r="L12" s="18">
        <v>0.55800000000000005</v>
      </c>
    </row>
    <row r="13" spans="1:12">
      <c r="A13" t="s">
        <v>528</v>
      </c>
      <c r="B13">
        <v>0.5</v>
      </c>
      <c r="C13">
        <v>256</v>
      </c>
      <c r="D13" s="1" t="b">
        <v>0</v>
      </c>
      <c r="E13" t="s">
        <v>548</v>
      </c>
      <c r="F13" t="s">
        <v>532</v>
      </c>
      <c r="G13" t="s">
        <v>4</v>
      </c>
      <c r="H13" s="11">
        <v>139</v>
      </c>
      <c r="I13" s="18">
        <v>0.92600000000000005</v>
      </c>
      <c r="J13" s="18">
        <v>0.72460000000000002</v>
      </c>
      <c r="K13" s="18">
        <v>1.6722999999999999</v>
      </c>
      <c r="L13" s="18">
        <v>0.5575</v>
      </c>
    </row>
    <row r="14" spans="1:12">
      <c r="A14" t="s">
        <v>528</v>
      </c>
      <c r="B14">
        <v>0.3</v>
      </c>
      <c r="C14">
        <v>256</v>
      </c>
      <c r="D14" s="1" t="b">
        <v>0</v>
      </c>
      <c r="E14" t="s">
        <v>548</v>
      </c>
      <c r="F14" t="s">
        <v>532</v>
      </c>
      <c r="G14" t="s">
        <v>2</v>
      </c>
      <c r="H14" s="11">
        <v>140</v>
      </c>
      <c r="I14" s="18">
        <v>0.90449999999999997</v>
      </c>
      <c r="J14" s="18">
        <v>0.72709999999999997</v>
      </c>
      <c r="K14" s="18">
        <v>1.6526000000000001</v>
      </c>
      <c r="L14" s="18">
        <v>0.55700000000000005</v>
      </c>
    </row>
    <row r="15" spans="1:12">
      <c r="A15" t="s">
        <v>528</v>
      </c>
      <c r="B15">
        <v>0.5</v>
      </c>
      <c r="C15">
        <v>64</v>
      </c>
      <c r="D15" s="1" t="b">
        <v>0</v>
      </c>
      <c r="E15" t="s">
        <v>548</v>
      </c>
      <c r="F15" t="s">
        <v>532</v>
      </c>
      <c r="G15" t="s">
        <v>1</v>
      </c>
      <c r="H15" s="11">
        <v>49</v>
      </c>
      <c r="I15" s="18">
        <v>1.1114999999999999</v>
      </c>
      <c r="J15" s="18">
        <v>0.67330000000000001</v>
      </c>
      <c r="K15" s="18">
        <v>1.6641999999999999</v>
      </c>
      <c r="L15" s="18">
        <v>0.55600000000000005</v>
      </c>
    </row>
    <row r="16" spans="1:12">
      <c r="A16" t="s">
        <v>528</v>
      </c>
      <c r="B16">
        <v>0.5</v>
      </c>
      <c r="C16">
        <v>128</v>
      </c>
      <c r="D16" s="1" t="b">
        <v>0</v>
      </c>
      <c r="E16" t="s">
        <v>548</v>
      </c>
      <c r="F16" t="s">
        <v>532</v>
      </c>
      <c r="G16" t="s">
        <v>4</v>
      </c>
      <c r="H16" s="11">
        <v>74</v>
      </c>
      <c r="I16" s="18">
        <v>0.89380000000000004</v>
      </c>
      <c r="J16" s="18">
        <v>0.73280000000000001</v>
      </c>
      <c r="K16" s="18">
        <v>1.6259999999999999</v>
      </c>
      <c r="L16" s="18">
        <v>0.55600000000000005</v>
      </c>
    </row>
    <row r="17" spans="1:12">
      <c r="A17" t="s">
        <v>528</v>
      </c>
      <c r="B17">
        <v>0.1</v>
      </c>
      <c r="C17">
        <v>128</v>
      </c>
      <c r="D17" s="1" t="b">
        <v>0</v>
      </c>
      <c r="E17" t="s">
        <v>548</v>
      </c>
      <c r="F17" t="s">
        <v>532</v>
      </c>
      <c r="G17" t="s">
        <v>2</v>
      </c>
      <c r="H17" s="11">
        <v>72</v>
      </c>
      <c r="I17" s="18">
        <v>0.76759999999999995</v>
      </c>
      <c r="J17" s="18">
        <v>0.77159999999999995</v>
      </c>
      <c r="K17" s="18">
        <v>1.7309000000000001</v>
      </c>
      <c r="L17" s="18">
        <v>0.55549999999999999</v>
      </c>
    </row>
    <row r="18" spans="1:12">
      <c r="A18" t="s">
        <v>528</v>
      </c>
      <c r="B18">
        <v>0.3</v>
      </c>
      <c r="C18">
        <v>64</v>
      </c>
      <c r="D18" s="1" t="b">
        <v>0</v>
      </c>
      <c r="E18" t="s">
        <v>547</v>
      </c>
      <c r="F18" t="s">
        <v>532</v>
      </c>
      <c r="G18" t="s">
        <v>4</v>
      </c>
      <c r="H18" s="11">
        <v>41</v>
      </c>
      <c r="I18" s="18">
        <v>1.1672</v>
      </c>
      <c r="J18" s="18">
        <v>0.65410000000000001</v>
      </c>
      <c r="K18" s="18">
        <v>1.7074</v>
      </c>
      <c r="L18" s="18">
        <v>0.55500000000000005</v>
      </c>
    </row>
    <row r="19" spans="1:12">
      <c r="A19" t="s">
        <v>528</v>
      </c>
      <c r="B19">
        <v>0.5</v>
      </c>
      <c r="C19">
        <v>256</v>
      </c>
      <c r="D19" s="1" t="b">
        <v>0</v>
      </c>
      <c r="E19" t="s">
        <v>547</v>
      </c>
      <c r="F19" t="s">
        <v>531</v>
      </c>
      <c r="G19" t="s">
        <v>5</v>
      </c>
      <c r="H19" s="11">
        <v>145</v>
      </c>
      <c r="I19" s="18">
        <v>0.36969999999999997</v>
      </c>
      <c r="J19" s="18">
        <v>0.89159999999999995</v>
      </c>
      <c r="K19" s="18">
        <v>2.0588000000000002</v>
      </c>
      <c r="L19" s="18">
        <v>0.55449999999999999</v>
      </c>
    </row>
    <row r="20" spans="1:12">
      <c r="A20" t="s">
        <v>528</v>
      </c>
      <c r="B20">
        <v>0.5</v>
      </c>
      <c r="C20">
        <v>256</v>
      </c>
      <c r="D20" s="1" t="b">
        <v>0</v>
      </c>
      <c r="E20" t="s">
        <v>547</v>
      </c>
      <c r="F20" t="s">
        <v>532</v>
      </c>
      <c r="G20" t="s">
        <v>5</v>
      </c>
      <c r="H20" s="11">
        <v>149</v>
      </c>
      <c r="I20" s="18">
        <v>1.1086</v>
      </c>
      <c r="J20" s="18">
        <v>0.67349999999999999</v>
      </c>
      <c r="K20" s="18">
        <v>1.6700999999999999</v>
      </c>
      <c r="L20" s="18">
        <v>0.55449999999999999</v>
      </c>
    </row>
    <row r="21" spans="1:12">
      <c r="A21" t="s">
        <v>528</v>
      </c>
      <c r="B21">
        <v>0.1</v>
      </c>
      <c r="C21">
        <v>128</v>
      </c>
      <c r="D21" s="1" t="b">
        <v>0</v>
      </c>
      <c r="E21" t="s">
        <v>548</v>
      </c>
      <c r="F21" t="s">
        <v>532</v>
      </c>
      <c r="G21" t="s">
        <v>0</v>
      </c>
      <c r="H21" s="11">
        <v>72</v>
      </c>
      <c r="I21" s="18">
        <v>0.92149999999999999</v>
      </c>
      <c r="J21" s="18">
        <v>0.72860000000000003</v>
      </c>
      <c r="K21" s="18">
        <v>1.6588000000000001</v>
      </c>
      <c r="L21" s="18">
        <v>0.55449999999999999</v>
      </c>
    </row>
    <row r="22" spans="1:12">
      <c r="A22" t="s">
        <v>528</v>
      </c>
      <c r="B22">
        <v>0.3</v>
      </c>
      <c r="C22">
        <v>256</v>
      </c>
      <c r="D22" s="1" t="b">
        <v>0</v>
      </c>
      <c r="E22" t="s">
        <v>547</v>
      </c>
      <c r="F22" t="s">
        <v>531</v>
      </c>
      <c r="G22" t="s">
        <v>3</v>
      </c>
      <c r="H22" s="11">
        <v>143</v>
      </c>
      <c r="I22" s="18">
        <v>0.31209999999999999</v>
      </c>
      <c r="J22" s="18">
        <v>0.91049999999999998</v>
      </c>
      <c r="K22" s="18">
        <v>2.0070000000000001</v>
      </c>
      <c r="L22" s="18">
        <v>0.55400000000000005</v>
      </c>
    </row>
    <row r="23" spans="1:12">
      <c r="A23" t="s">
        <v>528</v>
      </c>
      <c r="B23">
        <v>0.5</v>
      </c>
      <c r="C23">
        <v>128</v>
      </c>
      <c r="D23" s="1" t="b">
        <v>0</v>
      </c>
      <c r="E23" t="s">
        <v>548</v>
      </c>
      <c r="F23" t="s">
        <v>532</v>
      </c>
      <c r="G23" t="s">
        <v>3</v>
      </c>
      <c r="H23" s="11">
        <v>74</v>
      </c>
      <c r="I23" s="18">
        <v>0.94399999999999995</v>
      </c>
      <c r="J23" s="18">
        <v>0.71989999999999998</v>
      </c>
      <c r="K23" s="18">
        <v>1.6692</v>
      </c>
      <c r="L23" s="18">
        <v>0.55400000000000005</v>
      </c>
    </row>
    <row r="24" spans="1:12">
      <c r="A24" t="s">
        <v>528</v>
      </c>
      <c r="B24">
        <v>0.5</v>
      </c>
      <c r="C24">
        <v>256</v>
      </c>
      <c r="D24" s="1" t="b">
        <v>0</v>
      </c>
      <c r="E24" t="s">
        <v>548</v>
      </c>
      <c r="F24" t="s">
        <v>532</v>
      </c>
      <c r="G24" t="s">
        <v>5</v>
      </c>
      <c r="H24" s="11">
        <v>140</v>
      </c>
      <c r="I24" s="18">
        <v>0.87450000000000006</v>
      </c>
      <c r="J24" s="18">
        <v>0.74339999999999995</v>
      </c>
      <c r="K24" s="18">
        <v>1.6587000000000001</v>
      </c>
      <c r="L24" s="18">
        <v>0.55349999999999999</v>
      </c>
    </row>
    <row r="25" spans="1:12">
      <c r="A25" t="s">
        <v>528</v>
      </c>
      <c r="B25">
        <v>0.1</v>
      </c>
      <c r="C25">
        <v>256</v>
      </c>
      <c r="D25" s="1" t="b">
        <v>0</v>
      </c>
      <c r="E25" t="s">
        <v>547</v>
      </c>
      <c r="F25" t="s">
        <v>532</v>
      </c>
      <c r="G25" t="s">
        <v>4</v>
      </c>
      <c r="H25" s="11">
        <v>151</v>
      </c>
      <c r="I25" s="18">
        <v>0.94889999999999997</v>
      </c>
      <c r="J25" s="18">
        <v>0.71860000000000002</v>
      </c>
      <c r="K25" s="18">
        <v>1.6898</v>
      </c>
      <c r="L25" s="18">
        <v>0.55349999999999999</v>
      </c>
    </row>
    <row r="26" spans="1:12">
      <c r="A26" t="s">
        <v>528</v>
      </c>
      <c r="B26">
        <v>0.5</v>
      </c>
      <c r="C26">
        <v>64</v>
      </c>
      <c r="D26" s="1" t="b">
        <v>0</v>
      </c>
      <c r="E26" t="s">
        <v>548</v>
      </c>
      <c r="F26" t="s">
        <v>532</v>
      </c>
      <c r="G26" t="s">
        <v>2</v>
      </c>
      <c r="H26" s="11">
        <v>48</v>
      </c>
      <c r="I26" s="18">
        <v>1.0358000000000001</v>
      </c>
      <c r="J26" s="18">
        <v>0.69750000000000001</v>
      </c>
      <c r="K26" s="18">
        <v>1.7296</v>
      </c>
      <c r="L26" s="18">
        <v>0.55349999999999999</v>
      </c>
    </row>
    <row r="27" spans="1:12">
      <c r="A27" t="s">
        <v>528</v>
      </c>
      <c r="B27">
        <v>0.3</v>
      </c>
      <c r="C27">
        <v>256</v>
      </c>
      <c r="D27" s="1" t="b">
        <v>0</v>
      </c>
      <c r="E27" t="s">
        <v>547</v>
      </c>
      <c r="F27" t="s">
        <v>532</v>
      </c>
      <c r="G27" t="s">
        <v>2</v>
      </c>
      <c r="H27" s="11">
        <v>149</v>
      </c>
      <c r="I27" s="18">
        <v>1.2101999999999999</v>
      </c>
      <c r="J27" s="18">
        <v>0.63739999999999997</v>
      </c>
      <c r="K27" s="18">
        <v>1.6997</v>
      </c>
      <c r="L27" s="18">
        <v>0.55249999999999999</v>
      </c>
    </row>
    <row r="28" spans="1:12">
      <c r="A28" t="s">
        <v>528</v>
      </c>
      <c r="B28">
        <v>0.3</v>
      </c>
      <c r="C28">
        <v>128</v>
      </c>
      <c r="D28" s="1" t="b">
        <v>0</v>
      </c>
      <c r="E28" t="s">
        <v>547</v>
      </c>
      <c r="F28" t="s">
        <v>532</v>
      </c>
      <c r="G28" t="s">
        <v>4</v>
      </c>
      <c r="H28" s="11">
        <v>70</v>
      </c>
      <c r="I28" s="18">
        <v>1.0637000000000001</v>
      </c>
      <c r="J28" s="18">
        <v>0.68479999999999996</v>
      </c>
      <c r="K28" s="18">
        <v>1.7354000000000001</v>
      </c>
      <c r="L28" s="18">
        <v>0.55149999999999999</v>
      </c>
    </row>
    <row r="29" spans="1:12">
      <c r="A29" t="s">
        <v>528</v>
      </c>
      <c r="B29">
        <v>0.3</v>
      </c>
      <c r="C29">
        <v>256</v>
      </c>
      <c r="D29" s="1" t="b">
        <v>0</v>
      </c>
      <c r="E29" t="s">
        <v>548</v>
      </c>
      <c r="F29" t="s">
        <v>532</v>
      </c>
      <c r="G29" t="s">
        <v>3</v>
      </c>
      <c r="H29" s="11">
        <v>141</v>
      </c>
      <c r="I29" s="18">
        <v>0.83320000000000005</v>
      </c>
      <c r="J29" s="18">
        <v>0.75060000000000004</v>
      </c>
      <c r="K29" s="18">
        <v>1.7496</v>
      </c>
      <c r="L29" s="18">
        <v>0.55100000000000005</v>
      </c>
    </row>
    <row r="30" spans="1:12">
      <c r="A30" t="s">
        <v>528</v>
      </c>
      <c r="B30">
        <v>0.3</v>
      </c>
      <c r="C30">
        <v>256</v>
      </c>
      <c r="D30" s="1" t="b">
        <v>0</v>
      </c>
      <c r="E30" t="s">
        <v>548</v>
      </c>
      <c r="F30" t="s">
        <v>532</v>
      </c>
      <c r="G30" t="s">
        <v>4</v>
      </c>
      <c r="H30" s="11">
        <v>145</v>
      </c>
      <c r="I30" s="18">
        <v>0.75900000000000001</v>
      </c>
      <c r="J30" s="18">
        <v>0.77410000000000001</v>
      </c>
      <c r="K30" s="18">
        <v>1.7276</v>
      </c>
      <c r="L30" s="18">
        <v>0.55100000000000005</v>
      </c>
    </row>
    <row r="31" spans="1:12">
      <c r="A31" t="s">
        <v>528</v>
      </c>
      <c r="B31">
        <v>0.3</v>
      </c>
      <c r="C31">
        <v>256</v>
      </c>
      <c r="D31" s="1" t="b">
        <v>0</v>
      </c>
      <c r="E31" t="s">
        <v>547</v>
      </c>
      <c r="F31" t="s">
        <v>532</v>
      </c>
      <c r="G31" t="s">
        <v>3</v>
      </c>
      <c r="H31" s="11">
        <v>150</v>
      </c>
      <c r="I31" s="18">
        <v>1.1345000000000001</v>
      </c>
      <c r="J31" s="18">
        <v>0.6623</v>
      </c>
      <c r="K31" s="18">
        <v>1.6973</v>
      </c>
      <c r="L31" s="18">
        <v>0.55049999999999999</v>
      </c>
    </row>
    <row r="32" spans="1:12">
      <c r="A32" t="s">
        <v>528</v>
      </c>
      <c r="B32">
        <v>0.5</v>
      </c>
      <c r="C32">
        <v>128</v>
      </c>
      <c r="D32" s="1" t="b">
        <v>0</v>
      </c>
      <c r="E32" t="s">
        <v>548</v>
      </c>
      <c r="F32" t="s">
        <v>532</v>
      </c>
      <c r="G32" t="s">
        <v>1</v>
      </c>
      <c r="H32" s="11">
        <v>74</v>
      </c>
      <c r="I32" s="18">
        <v>1.0992999999999999</v>
      </c>
      <c r="J32" s="18">
        <v>0.67569999999999997</v>
      </c>
      <c r="K32" s="18">
        <v>1.7084999999999999</v>
      </c>
      <c r="L32" s="18">
        <v>0.55000000000000004</v>
      </c>
    </row>
    <row r="33" spans="1:12">
      <c r="A33" t="s">
        <v>528</v>
      </c>
      <c r="B33">
        <v>0.1</v>
      </c>
      <c r="C33">
        <v>64</v>
      </c>
      <c r="D33" s="1" t="b">
        <v>0</v>
      </c>
      <c r="E33" t="s">
        <v>548</v>
      </c>
      <c r="F33" t="s">
        <v>532</v>
      </c>
      <c r="G33" t="s">
        <v>1</v>
      </c>
      <c r="H33" s="11">
        <v>47</v>
      </c>
      <c r="I33" s="18">
        <v>0.8589</v>
      </c>
      <c r="J33" s="18">
        <v>0.753</v>
      </c>
      <c r="K33" s="18">
        <v>1.7806999999999999</v>
      </c>
      <c r="L33" s="18">
        <v>0.54949999999999999</v>
      </c>
    </row>
    <row r="34" spans="1:12">
      <c r="A34" t="s">
        <v>528</v>
      </c>
      <c r="B34">
        <v>0.3</v>
      </c>
      <c r="C34">
        <v>256</v>
      </c>
      <c r="D34" s="1" t="b">
        <v>0</v>
      </c>
      <c r="E34" t="s">
        <v>547</v>
      </c>
      <c r="F34" t="s">
        <v>532</v>
      </c>
      <c r="G34" t="s">
        <v>5</v>
      </c>
      <c r="H34" s="11">
        <v>150</v>
      </c>
      <c r="I34" s="18">
        <v>1.0142</v>
      </c>
      <c r="J34" s="18">
        <v>0.69699999999999995</v>
      </c>
      <c r="K34" s="18">
        <v>1.7495000000000001</v>
      </c>
      <c r="L34" s="18">
        <v>0.54949999999999999</v>
      </c>
    </row>
    <row r="35" spans="1:12">
      <c r="A35" t="s">
        <v>528</v>
      </c>
      <c r="B35">
        <v>0.1</v>
      </c>
      <c r="C35">
        <v>256</v>
      </c>
      <c r="D35" s="1" t="b">
        <v>0</v>
      </c>
      <c r="E35" t="s">
        <v>548</v>
      </c>
      <c r="F35" t="s">
        <v>532</v>
      </c>
      <c r="G35" t="s">
        <v>4</v>
      </c>
      <c r="H35" s="11">
        <v>141</v>
      </c>
      <c r="I35" s="18">
        <v>0.71250000000000002</v>
      </c>
      <c r="J35" s="18">
        <v>0.79059999999999997</v>
      </c>
      <c r="K35" s="18">
        <v>1.7587999999999999</v>
      </c>
      <c r="L35" s="18">
        <v>0.54949999999999999</v>
      </c>
    </row>
    <row r="36" spans="1:12">
      <c r="A36" t="s">
        <v>528</v>
      </c>
      <c r="B36">
        <v>0.5</v>
      </c>
      <c r="C36">
        <v>128</v>
      </c>
      <c r="D36" s="1" t="b">
        <v>0</v>
      </c>
      <c r="E36" t="s">
        <v>548</v>
      </c>
      <c r="F36" t="s">
        <v>532</v>
      </c>
      <c r="G36" t="s">
        <v>5</v>
      </c>
      <c r="H36" s="11">
        <v>74</v>
      </c>
      <c r="I36" s="18">
        <v>0.84350000000000003</v>
      </c>
      <c r="J36" s="18">
        <v>0.75039999999999996</v>
      </c>
      <c r="K36" s="18">
        <v>1.6895</v>
      </c>
      <c r="L36" s="18">
        <v>0.54900000000000004</v>
      </c>
    </row>
    <row r="37" spans="1:12">
      <c r="A37" t="s">
        <v>528</v>
      </c>
      <c r="B37">
        <v>0.1</v>
      </c>
      <c r="C37">
        <v>64</v>
      </c>
      <c r="D37" s="1" t="b">
        <v>0</v>
      </c>
      <c r="E37" t="s">
        <v>547</v>
      </c>
      <c r="F37" t="s">
        <v>532</v>
      </c>
      <c r="G37" t="s">
        <v>4</v>
      </c>
      <c r="H37" s="11">
        <v>41</v>
      </c>
      <c r="I37" s="18">
        <v>1.0101</v>
      </c>
      <c r="J37" s="18">
        <v>0.70960000000000001</v>
      </c>
      <c r="K37" s="18">
        <v>1.7683</v>
      </c>
      <c r="L37" s="18">
        <v>0.54800000000000004</v>
      </c>
    </row>
    <row r="38" spans="1:12">
      <c r="A38" t="s">
        <v>528</v>
      </c>
      <c r="B38">
        <v>0.1</v>
      </c>
      <c r="C38">
        <v>128</v>
      </c>
      <c r="D38" s="1" t="b">
        <v>0</v>
      </c>
      <c r="E38" t="s">
        <v>548</v>
      </c>
      <c r="F38" t="s">
        <v>532</v>
      </c>
      <c r="G38" t="s">
        <v>4</v>
      </c>
      <c r="H38" s="11">
        <v>81</v>
      </c>
      <c r="I38" s="18">
        <v>0.63580000000000003</v>
      </c>
      <c r="J38" s="18">
        <v>0.81640000000000001</v>
      </c>
      <c r="K38" s="18">
        <v>1.8126</v>
      </c>
      <c r="L38" s="18">
        <v>0.54800000000000004</v>
      </c>
    </row>
    <row r="39" spans="1:12">
      <c r="A39" t="s">
        <v>528</v>
      </c>
      <c r="B39">
        <v>0.3</v>
      </c>
      <c r="C39">
        <v>64</v>
      </c>
      <c r="D39" s="1" t="b">
        <v>0</v>
      </c>
      <c r="E39" t="s">
        <v>548</v>
      </c>
      <c r="F39" t="s">
        <v>532</v>
      </c>
      <c r="G39" t="s">
        <v>1</v>
      </c>
      <c r="H39" s="11">
        <v>41</v>
      </c>
      <c r="I39" s="18">
        <v>0.97819999999999996</v>
      </c>
      <c r="J39" s="18">
        <v>0.71650000000000003</v>
      </c>
      <c r="K39" s="18">
        <v>1.7496</v>
      </c>
      <c r="L39" s="18">
        <v>0.54800000000000004</v>
      </c>
    </row>
    <row r="40" spans="1:12">
      <c r="A40" t="s">
        <v>528</v>
      </c>
      <c r="B40">
        <v>0.5</v>
      </c>
      <c r="C40">
        <v>256</v>
      </c>
      <c r="D40" s="1" t="b">
        <v>0</v>
      </c>
      <c r="E40" t="s">
        <v>548</v>
      </c>
      <c r="F40" t="s">
        <v>531</v>
      </c>
      <c r="G40" t="s">
        <v>2</v>
      </c>
      <c r="H40" s="11">
        <v>167</v>
      </c>
      <c r="I40" s="18">
        <v>0.4446</v>
      </c>
      <c r="J40" s="18">
        <v>0.87139999999999995</v>
      </c>
      <c r="K40" s="18">
        <v>1.9645999999999999</v>
      </c>
      <c r="L40" s="18">
        <v>0.54749999999999999</v>
      </c>
    </row>
    <row r="41" spans="1:12">
      <c r="A41" t="s">
        <v>528</v>
      </c>
      <c r="B41">
        <v>0.3</v>
      </c>
      <c r="C41">
        <v>128</v>
      </c>
      <c r="D41" s="1" t="b">
        <v>0</v>
      </c>
      <c r="E41" t="s">
        <v>547</v>
      </c>
      <c r="F41" t="s">
        <v>532</v>
      </c>
      <c r="G41" t="s">
        <v>3</v>
      </c>
      <c r="H41" s="11">
        <v>70</v>
      </c>
      <c r="I41" s="18">
        <v>1.1355</v>
      </c>
      <c r="J41" s="18">
        <v>0.66659999999999997</v>
      </c>
      <c r="K41" s="18">
        <v>1.6813</v>
      </c>
      <c r="L41" s="18">
        <v>0.54749999999999999</v>
      </c>
    </row>
    <row r="42" spans="1:12">
      <c r="A42" t="s">
        <v>528</v>
      </c>
      <c r="B42">
        <v>0.3</v>
      </c>
      <c r="C42">
        <v>256</v>
      </c>
      <c r="D42" s="1" t="b">
        <v>0</v>
      </c>
      <c r="E42" t="s">
        <v>547</v>
      </c>
      <c r="F42" t="s">
        <v>531</v>
      </c>
      <c r="G42" t="s">
        <v>2</v>
      </c>
      <c r="H42" s="11">
        <v>159</v>
      </c>
      <c r="I42" s="18">
        <v>0.34329999999999999</v>
      </c>
      <c r="J42" s="18">
        <v>0.90010000000000001</v>
      </c>
      <c r="K42" s="18">
        <v>2.0301</v>
      </c>
      <c r="L42" s="18">
        <v>0.54700000000000004</v>
      </c>
    </row>
    <row r="43" spans="1:12">
      <c r="A43" t="s">
        <v>528</v>
      </c>
      <c r="B43">
        <v>0.1</v>
      </c>
      <c r="C43">
        <v>64</v>
      </c>
      <c r="D43" s="1" t="b">
        <v>0</v>
      </c>
      <c r="E43" t="s">
        <v>547</v>
      </c>
      <c r="F43" t="s">
        <v>532</v>
      </c>
      <c r="G43" t="s">
        <v>5</v>
      </c>
      <c r="H43" s="11">
        <v>41</v>
      </c>
      <c r="I43" s="18">
        <v>0.9345</v>
      </c>
      <c r="J43" s="18">
        <v>0.72770000000000001</v>
      </c>
      <c r="K43" s="18">
        <v>1.7784</v>
      </c>
      <c r="L43" s="18">
        <v>0.54700000000000004</v>
      </c>
    </row>
    <row r="44" spans="1:12">
      <c r="A44" t="s">
        <v>528</v>
      </c>
      <c r="B44">
        <v>0.5</v>
      </c>
      <c r="C44">
        <v>64</v>
      </c>
      <c r="D44" s="1" t="b">
        <v>0</v>
      </c>
      <c r="E44" t="s">
        <v>548</v>
      </c>
      <c r="F44" t="s">
        <v>532</v>
      </c>
      <c r="G44" t="s">
        <v>4</v>
      </c>
      <c r="H44" s="11">
        <v>49</v>
      </c>
      <c r="I44" s="18">
        <v>0.94140000000000001</v>
      </c>
      <c r="J44" s="18">
        <v>0.7208</v>
      </c>
      <c r="K44" s="18">
        <v>1.7186999999999999</v>
      </c>
      <c r="L44" s="18">
        <v>0.54700000000000004</v>
      </c>
    </row>
    <row r="45" spans="1:12">
      <c r="A45" t="s">
        <v>528</v>
      </c>
      <c r="B45">
        <v>0.3</v>
      </c>
      <c r="C45">
        <v>128</v>
      </c>
      <c r="D45" s="1" t="b">
        <v>0</v>
      </c>
      <c r="E45" t="s">
        <v>548</v>
      </c>
      <c r="F45" t="s">
        <v>532</v>
      </c>
      <c r="G45" t="s">
        <v>3</v>
      </c>
      <c r="H45" s="11">
        <v>73</v>
      </c>
      <c r="I45" s="18">
        <v>0.80010000000000003</v>
      </c>
      <c r="J45" s="18">
        <v>0.76739999999999997</v>
      </c>
      <c r="K45" s="18">
        <v>1.6688000000000001</v>
      </c>
      <c r="L45" s="18">
        <v>0.54649999999999999</v>
      </c>
    </row>
    <row r="46" spans="1:12">
      <c r="A46" t="s">
        <v>528</v>
      </c>
      <c r="B46">
        <v>0.5</v>
      </c>
      <c r="C46">
        <v>128</v>
      </c>
      <c r="D46" s="1" t="b">
        <v>0</v>
      </c>
      <c r="E46" t="s">
        <v>547</v>
      </c>
      <c r="F46" t="s">
        <v>532</v>
      </c>
      <c r="G46" t="s">
        <v>3</v>
      </c>
      <c r="H46" s="11">
        <v>76</v>
      </c>
      <c r="I46" s="18">
        <v>1.2531000000000001</v>
      </c>
      <c r="J46" s="18">
        <v>0.62260000000000004</v>
      </c>
      <c r="K46" s="18">
        <v>1.7078</v>
      </c>
      <c r="L46" s="18">
        <v>0.54649999999999999</v>
      </c>
    </row>
    <row r="47" spans="1:12">
      <c r="A47" t="s">
        <v>528</v>
      </c>
      <c r="B47">
        <v>0.5</v>
      </c>
      <c r="C47">
        <v>256</v>
      </c>
      <c r="D47" s="1" t="b">
        <v>0</v>
      </c>
      <c r="E47" t="s">
        <v>547</v>
      </c>
      <c r="F47" t="s">
        <v>531</v>
      </c>
      <c r="G47" t="s">
        <v>2</v>
      </c>
      <c r="H47" s="11">
        <v>170</v>
      </c>
      <c r="I47" s="18">
        <v>0.50600000000000001</v>
      </c>
      <c r="J47" s="18">
        <v>0.85160000000000002</v>
      </c>
      <c r="K47" s="18">
        <v>1.8237000000000001</v>
      </c>
      <c r="L47" s="18">
        <v>0.54600000000000004</v>
      </c>
    </row>
    <row r="48" spans="1:12">
      <c r="A48" t="s">
        <v>528</v>
      </c>
      <c r="B48">
        <v>0.3</v>
      </c>
      <c r="C48">
        <v>64</v>
      </c>
      <c r="D48" s="1" t="b">
        <v>0</v>
      </c>
      <c r="E48" t="s">
        <v>547</v>
      </c>
      <c r="F48" t="s">
        <v>532</v>
      </c>
      <c r="G48" t="s">
        <v>3</v>
      </c>
      <c r="H48" s="11">
        <v>41</v>
      </c>
      <c r="I48" s="18">
        <v>1.232</v>
      </c>
      <c r="J48" s="18">
        <v>0.63049999999999995</v>
      </c>
      <c r="K48" s="18">
        <v>1.7787999999999999</v>
      </c>
      <c r="L48" s="18">
        <v>0.54600000000000004</v>
      </c>
    </row>
    <row r="49" spans="1:12">
      <c r="A49" t="s">
        <v>528</v>
      </c>
      <c r="B49">
        <v>0.3</v>
      </c>
      <c r="C49">
        <v>128</v>
      </c>
      <c r="D49" s="1" t="b">
        <v>0</v>
      </c>
      <c r="E49" t="s">
        <v>548</v>
      </c>
      <c r="F49" t="s">
        <v>532</v>
      </c>
      <c r="G49" t="s">
        <v>4</v>
      </c>
      <c r="H49" s="11">
        <v>74</v>
      </c>
      <c r="I49" s="18">
        <v>0.7248</v>
      </c>
      <c r="J49" s="18">
        <v>0.78690000000000004</v>
      </c>
      <c r="K49" s="18">
        <v>1.6897</v>
      </c>
      <c r="L49" s="18">
        <v>0.54600000000000004</v>
      </c>
    </row>
    <row r="50" spans="1:12">
      <c r="A50" t="s">
        <v>528</v>
      </c>
      <c r="B50">
        <v>0.1</v>
      </c>
      <c r="C50">
        <v>256</v>
      </c>
      <c r="D50" s="1" t="b">
        <v>0</v>
      </c>
      <c r="E50" t="s">
        <v>547</v>
      </c>
      <c r="F50" t="s">
        <v>532</v>
      </c>
      <c r="G50" t="s">
        <v>2</v>
      </c>
      <c r="H50" s="11">
        <v>149</v>
      </c>
      <c r="I50" s="18">
        <v>1.0915999999999999</v>
      </c>
      <c r="J50" s="18">
        <v>0.67449999999999999</v>
      </c>
      <c r="K50" s="18">
        <v>1.6832</v>
      </c>
      <c r="L50" s="18">
        <v>0.54500000000000004</v>
      </c>
    </row>
    <row r="51" spans="1:12">
      <c r="A51" t="s">
        <v>528</v>
      </c>
      <c r="B51">
        <v>0.5</v>
      </c>
      <c r="C51">
        <v>128</v>
      </c>
      <c r="D51" s="1" t="b">
        <v>0</v>
      </c>
      <c r="E51" t="s">
        <v>547</v>
      </c>
      <c r="F51" t="s">
        <v>531</v>
      </c>
      <c r="G51" t="s">
        <v>4</v>
      </c>
      <c r="H51" s="11">
        <v>76</v>
      </c>
      <c r="I51" s="18">
        <v>0.41160000000000002</v>
      </c>
      <c r="J51" s="18">
        <v>0.87960000000000005</v>
      </c>
      <c r="K51" s="18">
        <v>2.0587</v>
      </c>
      <c r="L51" s="18">
        <v>0.54449999999999998</v>
      </c>
    </row>
    <row r="52" spans="1:12">
      <c r="A52" t="s">
        <v>528</v>
      </c>
      <c r="B52">
        <v>0.3</v>
      </c>
      <c r="C52">
        <v>64</v>
      </c>
      <c r="D52" s="1" t="b">
        <v>0</v>
      </c>
      <c r="E52" t="s">
        <v>548</v>
      </c>
      <c r="F52" t="s">
        <v>532</v>
      </c>
      <c r="G52" t="s">
        <v>5</v>
      </c>
      <c r="H52" s="11">
        <v>41</v>
      </c>
      <c r="I52" s="18">
        <v>0.67530000000000001</v>
      </c>
      <c r="J52" s="18">
        <v>0.80820000000000003</v>
      </c>
      <c r="K52" s="18">
        <v>1.8427</v>
      </c>
      <c r="L52" s="18">
        <v>0.54449999999999998</v>
      </c>
    </row>
    <row r="53" spans="1:12">
      <c r="A53" t="s">
        <v>528</v>
      </c>
      <c r="B53">
        <v>0.1</v>
      </c>
      <c r="C53">
        <v>128</v>
      </c>
      <c r="D53" s="1" t="b">
        <v>0</v>
      </c>
      <c r="E53" t="s">
        <v>547</v>
      </c>
      <c r="F53" t="s">
        <v>532</v>
      </c>
      <c r="G53" t="s">
        <v>4</v>
      </c>
      <c r="H53" s="11">
        <v>73</v>
      </c>
      <c r="I53" s="18">
        <v>0.90580000000000005</v>
      </c>
      <c r="J53" s="18">
        <v>0.74009999999999998</v>
      </c>
      <c r="K53" s="18">
        <v>1.7574000000000001</v>
      </c>
      <c r="L53" s="18">
        <v>0.54400000000000004</v>
      </c>
    </row>
    <row r="54" spans="1:12">
      <c r="A54" t="s">
        <v>528</v>
      </c>
      <c r="B54">
        <v>0.1</v>
      </c>
      <c r="C54">
        <v>256</v>
      </c>
      <c r="D54" s="1" t="b">
        <v>0</v>
      </c>
      <c r="E54" t="s">
        <v>547</v>
      </c>
      <c r="F54" t="s">
        <v>532</v>
      </c>
      <c r="G54" t="s">
        <v>1</v>
      </c>
      <c r="H54" s="11">
        <v>149</v>
      </c>
      <c r="I54" s="18">
        <v>1.1805000000000001</v>
      </c>
      <c r="J54" s="18">
        <v>0.64790000000000003</v>
      </c>
      <c r="K54" s="18">
        <v>1.7206999999999999</v>
      </c>
      <c r="L54" s="18">
        <v>0.54400000000000004</v>
      </c>
    </row>
    <row r="55" spans="1:12">
      <c r="A55" t="s">
        <v>528</v>
      </c>
      <c r="B55">
        <v>0.3</v>
      </c>
      <c r="C55">
        <v>256</v>
      </c>
      <c r="D55" s="1" t="b">
        <v>0</v>
      </c>
      <c r="E55" t="s">
        <v>547</v>
      </c>
      <c r="F55" t="s">
        <v>532</v>
      </c>
      <c r="G55" t="s">
        <v>4</v>
      </c>
      <c r="H55" s="11">
        <v>154</v>
      </c>
      <c r="I55" s="18">
        <v>1.0762</v>
      </c>
      <c r="J55" s="18">
        <v>0.68359999999999999</v>
      </c>
      <c r="K55" s="18">
        <v>1.6819</v>
      </c>
      <c r="L55" s="18">
        <v>0.54400000000000004</v>
      </c>
    </row>
    <row r="56" spans="1:12">
      <c r="A56" t="s">
        <v>528</v>
      </c>
      <c r="B56">
        <v>0.1</v>
      </c>
      <c r="C56">
        <v>256</v>
      </c>
      <c r="D56" s="1" t="b">
        <v>0</v>
      </c>
      <c r="E56" t="s">
        <v>547</v>
      </c>
      <c r="F56" t="s">
        <v>531</v>
      </c>
      <c r="G56" t="s">
        <v>1</v>
      </c>
      <c r="H56" s="11">
        <v>165</v>
      </c>
      <c r="I56" s="18">
        <v>0.3553</v>
      </c>
      <c r="J56" s="18">
        <v>0.89810000000000001</v>
      </c>
      <c r="K56" s="18">
        <v>2.0733000000000001</v>
      </c>
      <c r="L56" s="18">
        <v>0.54300000000000004</v>
      </c>
    </row>
    <row r="57" spans="1:12">
      <c r="A57" t="s">
        <v>528</v>
      </c>
      <c r="B57">
        <v>0.5</v>
      </c>
      <c r="C57">
        <v>64</v>
      </c>
      <c r="D57" s="1" t="b">
        <v>0</v>
      </c>
      <c r="E57" t="s">
        <v>548</v>
      </c>
      <c r="F57" t="s">
        <v>531</v>
      </c>
      <c r="G57" t="s">
        <v>2</v>
      </c>
      <c r="H57" s="11">
        <v>50</v>
      </c>
      <c r="I57" s="18">
        <v>0.4108</v>
      </c>
      <c r="J57" s="18">
        <v>0.88560000000000005</v>
      </c>
      <c r="K57" s="18">
        <v>2.0758000000000001</v>
      </c>
      <c r="L57" s="18">
        <v>0.54249999999999998</v>
      </c>
    </row>
    <row r="58" spans="1:12">
      <c r="A58" t="s">
        <v>528</v>
      </c>
      <c r="B58">
        <v>0.1</v>
      </c>
      <c r="C58">
        <v>256</v>
      </c>
      <c r="D58" s="1" t="b">
        <v>0</v>
      </c>
      <c r="E58" t="s">
        <v>547</v>
      </c>
      <c r="F58" t="s">
        <v>532</v>
      </c>
      <c r="G58" t="s">
        <v>5</v>
      </c>
      <c r="H58" s="11">
        <v>150</v>
      </c>
      <c r="I58" s="18">
        <v>0.89349999999999996</v>
      </c>
      <c r="J58" s="18">
        <v>0.73709999999999998</v>
      </c>
      <c r="K58" s="18">
        <v>1.7537</v>
      </c>
      <c r="L58" s="18">
        <v>0.54249999999999998</v>
      </c>
    </row>
    <row r="59" spans="1:12">
      <c r="A59" t="s">
        <v>528</v>
      </c>
      <c r="B59">
        <v>0.5</v>
      </c>
      <c r="C59">
        <v>256</v>
      </c>
      <c r="D59" s="1" t="b">
        <v>0</v>
      </c>
      <c r="E59" t="s">
        <v>548</v>
      </c>
      <c r="F59" t="s">
        <v>532</v>
      </c>
      <c r="G59" t="s">
        <v>0</v>
      </c>
      <c r="H59" s="11">
        <v>141</v>
      </c>
      <c r="I59" s="18">
        <v>1.2199</v>
      </c>
      <c r="J59" s="18">
        <v>0.64100000000000001</v>
      </c>
      <c r="K59" s="18">
        <v>1.6886000000000001</v>
      </c>
      <c r="L59" s="18">
        <v>0.54249999999999998</v>
      </c>
    </row>
    <row r="60" spans="1:12">
      <c r="A60" t="s">
        <v>528</v>
      </c>
      <c r="B60">
        <v>0.3</v>
      </c>
      <c r="C60">
        <v>256</v>
      </c>
      <c r="D60" s="1" t="b">
        <v>0</v>
      </c>
      <c r="E60" t="s">
        <v>548</v>
      </c>
      <c r="F60" t="s">
        <v>531</v>
      </c>
      <c r="G60" t="s">
        <v>2</v>
      </c>
      <c r="H60" s="11">
        <v>141</v>
      </c>
      <c r="I60" s="18">
        <v>0.29499999999999998</v>
      </c>
      <c r="J60" s="18">
        <v>0.91659999999999997</v>
      </c>
      <c r="K60" s="18">
        <v>2.169</v>
      </c>
      <c r="L60" s="18">
        <v>0.54200000000000004</v>
      </c>
    </row>
    <row r="61" spans="1:12">
      <c r="A61" t="s">
        <v>528</v>
      </c>
      <c r="B61">
        <v>0.3</v>
      </c>
      <c r="C61">
        <v>64</v>
      </c>
      <c r="D61" s="1" t="b">
        <v>0</v>
      </c>
      <c r="E61" t="s">
        <v>548</v>
      </c>
      <c r="F61" t="s">
        <v>532</v>
      </c>
      <c r="G61" t="s">
        <v>3</v>
      </c>
      <c r="H61" s="11">
        <v>41</v>
      </c>
      <c r="I61" s="18">
        <v>0.82010000000000005</v>
      </c>
      <c r="J61" s="18">
        <v>0.76390000000000002</v>
      </c>
      <c r="K61" s="18">
        <v>1.7557</v>
      </c>
      <c r="L61" s="18">
        <v>0.54200000000000004</v>
      </c>
    </row>
    <row r="62" spans="1:12">
      <c r="A62" t="s">
        <v>528</v>
      </c>
      <c r="B62">
        <v>0.3</v>
      </c>
      <c r="C62">
        <v>128</v>
      </c>
      <c r="D62" s="1" t="b">
        <v>0</v>
      </c>
      <c r="E62" t="s">
        <v>548</v>
      </c>
      <c r="F62" t="s">
        <v>532</v>
      </c>
      <c r="G62" t="s">
        <v>5</v>
      </c>
      <c r="H62" s="11">
        <v>73</v>
      </c>
      <c r="I62" s="18">
        <v>0.67869999999999997</v>
      </c>
      <c r="J62" s="18">
        <v>0.7974</v>
      </c>
      <c r="K62" s="18">
        <v>1.7412000000000001</v>
      </c>
      <c r="L62" s="18">
        <v>0.54149999999999998</v>
      </c>
    </row>
    <row r="63" spans="1:12">
      <c r="A63" t="s">
        <v>528</v>
      </c>
      <c r="B63">
        <v>0.3</v>
      </c>
      <c r="C63">
        <v>256</v>
      </c>
      <c r="D63" s="1" t="b">
        <v>0</v>
      </c>
      <c r="E63" t="s">
        <v>548</v>
      </c>
      <c r="F63" t="s">
        <v>532</v>
      </c>
      <c r="G63" t="s">
        <v>1</v>
      </c>
      <c r="H63" s="11">
        <v>143</v>
      </c>
      <c r="I63" s="18">
        <v>0.97889999999999999</v>
      </c>
      <c r="J63" s="18">
        <v>0.71160000000000001</v>
      </c>
      <c r="K63" s="18">
        <v>1.7014</v>
      </c>
      <c r="L63" s="18">
        <v>0.54149999999999998</v>
      </c>
    </row>
    <row r="64" spans="1:12">
      <c r="A64" t="s">
        <v>528</v>
      </c>
      <c r="B64">
        <v>0.5</v>
      </c>
      <c r="C64">
        <v>128</v>
      </c>
      <c r="D64" s="1" t="b">
        <v>0</v>
      </c>
      <c r="E64" t="s">
        <v>547</v>
      </c>
      <c r="F64" t="s">
        <v>532</v>
      </c>
      <c r="G64" t="s">
        <v>4</v>
      </c>
      <c r="H64" s="11">
        <v>76</v>
      </c>
      <c r="I64" s="18">
        <v>1.1873</v>
      </c>
      <c r="J64" s="18">
        <v>0.64539999999999997</v>
      </c>
      <c r="K64" s="18">
        <v>1.6889000000000001</v>
      </c>
      <c r="L64" s="18">
        <v>0.54149999999999998</v>
      </c>
    </row>
    <row r="65" spans="1:12">
      <c r="A65" t="s">
        <v>528</v>
      </c>
      <c r="B65">
        <v>0.5</v>
      </c>
      <c r="C65">
        <v>128</v>
      </c>
      <c r="D65" s="1" t="b">
        <v>0</v>
      </c>
      <c r="E65" t="s">
        <v>547</v>
      </c>
      <c r="F65" t="s">
        <v>531</v>
      </c>
      <c r="G65" t="s">
        <v>3</v>
      </c>
      <c r="H65" s="11">
        <v>76</v>
      </c>
      <c r="I65" s="18">
        <v>0.44400000000000001</v>
      </c>
      <c r="J65" s="18">
        <v>0.874</v>
      </c>
      <c r="K65" s="18">
        <v>2.0215999999999998</v>
      </c>
      <c r="L65" s="18">
        <v>0.54100000000000004</v>
      </c>
    </row>
    <row r="66" spans="1:12">
      <c r="A66" t="s">
        <v>528</v>
      </c>
      <c r="B66">
        <v>0.5</v>
      </c>
      <c r="C66">
        <v>256</v>
      </c>
      <c r="D66" s="1" t="b">
        <v>0</v>
      </c>
      <c r="E66" t="s">
        <v>547</v>
      </c>
      <c r="F66" t="s">
        <v>532</v>
      </c>
      <c r="G66" t="s">
        <v>4</v>
      </c>
      <c r="H66" s="11">
        <v>173</v>
      </c>
      <c r="I66" s="18">
        <v>1.1756</v>
      </c>
      <c r="J66" s="18">
        <v>0.65</v>
      </c>
      <c r="K66" s="18">
        <v>1.7112000000000001</v>
      </c>
      <c r="L66" s="18">
        <v>0.54100000000000004</v>
      </c>
    </row>
    <row r="67" spans="1:12">
      <c r="A67" t="s">
        <v>528</v>
      </c>
      <c r="B67">
        <v>0.3</v>
      </c>
      <c r="C67">
        <v>128</v>
      </c>
      <c r="D67" s="1" t="b">
        <v>0</v>
      </c>
      <c r="E67" t="s">
        <v>548</v>
      </c>
      <c r="F67" t="s">
        <v>531</v>
      </c>
      <c r="G67" t="s">
        <v>3</v>
      </c>
      <c r="H67" s="11">
        <v>74</v>
      </c>
      <c r="I67" s="18">
        <v>0.26869999999999999</v>
      </c>
      <c r="J67" s="18">
        <v>0.92330000000000001</v>
      </c>
      <c r="K67" s="18">
        <v>2.2252999999999998</v>
      </c>
      <c r="L67" s="18">
        <v>0.54049999999999998</v>
      </c>
    </row>
    <row r="68" spans="1:12">
      <c r="A68" t="s">
        <v>528</v>
      </c>
      <c r="B68">
        <v>0.5</v>
      </c>
      <c r="C68">
        <v>64</v>
      </c>
      <c r="D68" s="1" t="b">
        <v>0</v>
      </c>
      <c r="E68" t="s">
        <v>547</v>
      </c>
      <c r="F68" t="s">
        <v>532</v>
      </c>
      <c r="G68" t="s">
        <v>5</v>
      </c>
      <c r="H68" s="11">
        <v>41</v>
      </c>
      <c r="I68" s="18">
        <v>1.2191000000000001</v>
      </c>
      <c r="J68" s="18">
        <v>0.63749999999999996</v>
      </c>
      <c r="K68" s="18">
        <v>1.7262</v>
      </c>
      <c r="L68" s="18">
        <v>0.54049999999999998</v>
      </c>
    </row>
    <row r="69" spans="1:12">
      <c r="A69" t="s">
        <v>528</v>
      </c>
      <c r="B69">
        <v>0.5</v>
      </c>
      <c r="C69">
        <v>256</v>
      </c>
      <c r="D69" s="1" t="b">
        <v>0</v>
      </c>
      <c r="E69" t="s">
        <v>548</v>
      </c>
      <c r="F69" t="s">
        <v>531</v>
      </c>
      <c r="G69" t="s">
        <v>5</v>
      </c>
      <c r="H69" s="11">
        <v>142</v>
      </c>
      <c r="I69" s="18">
        <v>0.30719999999999997</v>
      </c>
      <c r="J69" s="18">
        <v>0.91049999999999998</v>
      </c>
      <c r="K69" s="18">
        <v>2.0409999999999999</v>
      </c>
      <c r="L69" s="18">
        <v>0.54</v>
      </c>
    </row>
    <row r="70" spans="1:12">
      <c r="A70" t="s">
        <v>528</v>
      </c>
      <c r="B70">
        <v>0.5</v>
      </c>
      <c r="C70">
        <v>64</v>
      </c>
      <c r="D70" s="1" t="b">
        <v>0</v>
      </c>
      <c r="E70" t="s">
        <v>548</v>
      </c>
      <c r="F70" t="s">
        <v>531</v>
      </c>
      <c r="G70" t="s">
        <v>3</v>
      </c>
      <c r="H70" s="11">
        <v>51</v>
      </c>
      <c r="I70" s="18">
        <v>0.36099999999999999</v>
      </c>
      <c r="J70" s="18">
        <v>0.89739999999999998</v>
      </c>
      <c r="K70" s="18">
        <v>2.1248</v>
      </c>
      <c r="L70" s="18">
        <v>0.53949999999999998</v>
      </c>
    </row>
    <row r="71" spans="1:12">
      <c r="A71" t="s">
        <v>528</v>
      </c>
      <c r="B71">
        <v>0.5</v>
      </c>
      <c r="C71">
        <v>256</v>
      </c>
      <c r="D71" s="1" t="b">
        <v>0</v>
      </c>
      <c r="E71" t="s">
        <v>548</v>
      </c>
      <c r="F71" t="s">
        <v>532</v>
      </c>
      <c r="G71" t="s">
        <v>3</v>
      </c>
      <c r="H71" s="11">
        <v>139</v>
      </c>
      <c r="I71" s="18">
        <v>1.0162</v>
      </c>
      <c r="J71" s="18">
        <v>0.70199999999999996</v>
      </c>
      <c r="K71" s="18">
        <v>1.7031000000000001</v>
      </c>
      <c r="L71" s="18">
        <v>0.53949999999999998</v>
      </c>
    </row>
    <row r="72" spans="1:12">
      <c r="A72" t="s">
        <v>528</v>
      </c>
      <c r="B72">
        <v>0.5</v>
      </c>
      <c r="C72">
        <v>256</v>
      </c>
      <c r="D72" s="1" t="b">
        <v>0</v>
      </c>
      <c r="E72" t="s">
        <v>547</v>
      </c>
      <c r="F72" t="s">
        <v>532</v>
      </c>
      <c r="G72" t="s">
        <v>1</v>
      </c>
      <c r="H72" s="11">
        <v>174</v>
      </c>
      <c r="I72" s="18">
        <v>1.3842000000000001</v>
      </c>
      <c r="J72" s="18">
        <v>0.58340000000000003</v>
      </c>
      <c r="K72" s="18">
        <v>1.7192000000000001</v>
      </c>
      <c r="L72" s="18">
        <v>0.53949999999999998</v>
      </c>
    </row>
    <row r="73" spans="1:12">
      <c r="A73" t="s">
        <v>528</v>
      </c>
      <c r="B73">
        <v>0.5</v>
      </c>
      <c r="C73">
        <v>128</v>
      </c>
      <c r="D73" s="1" t="b">
        <v>0</v>
      </c>
      <c r="E73" t="s">
        <v>547</v>
      </c>
      <c r="F73" t="s">
        <v>531</v>
      </c>
      <c r="G73" t="s">
        <v>5</v>
      </c>
      <c r="H73" s="11">
        <v>76</v>
      </c>
      <c r="I73" s="18">
        <v>0.38040000000000002</v>
      </c>
      <c r="J73" s="18">
        <v>0.88959999999999995</v>
      </c>
      <c r="K73" s="18">
        <v>2.08</v>
      </c>
      <c r="L73" s="18">
        <v>0.53900000000000003</v>
      </c>
    </row>
    <row r="74" spans="1:12">
      <c r="A74" t="s">
        <v>528</v>
      </c>
      <c r="B74">
        <v>0.1</v>
      </c>
      <c r="C74">
        <v>64</v>
      </c>
      <c r="D74" s="1" t="b">
        <v>0</v>
      </c>
      <c r="E74" t="s">
        <v>547</v>
      </c>
      <c r="F74" t="s">
        <v>532</v>
      </c>
      <c r="G74" t="s">
        <v>2</v>
      </c>
      <c r="H74" s="11">
        <v>42</v>
      </c>
      <c r="I74" s="18">
        <v>1.1747000000000001</v>
      </c>
      <c r="J74" s="18">
        <v>0.66239999999999999</v>
      </c>
      <c r="K74" s="18">
        <v>1.7428999999999999</v>
      </c>
      <c r="L74" s="18">
        <v>0.53900000000000003</v>
      </c>
    </row>
    <row r="75" spans="1:12">
      <c r="A75" t="s">
        <v>528</v>
      </c>
      <c r="B75">
        <v>0.3</v>
      </c>
      <c r="C75">
        <v>128</v>
      </c>
      <c r="D75" s="1" t="b">
        <v>0</v>
      </c>
      <c r="E75" t="s">
        <v>547</v>
      </c>
      <c r="F75" t="s">
        <v>532</v>
      </c>
      <c r="G75" t="s">
        <v>2</v>
      </c>
      <c r="H75" s="11">
        <v>70</v>
      </c>
      <c r="I75" s="18">
        <v>1.2178</v>
      </c>
      <c r="J75" s="18">
        <v>0.63819999999999999</v>
      </c>
      <c r="K75" s="18">
        <v>1.7279</v>
      </c>
      <c r="L75" s="18">
        <v>0.53900000000000003</v>
      </c>
    </row>
    <row r="76" spans="1:12">
      <c r="A76" t="s">
        <v>528</v>
      </c>
      <c r="B76">
        <v>0.5</v>
      </c>
      <c r="C76">
        <v>256</v>
      </c>
      <c r="D76" s="1" t="b">
        <v>0</v>
      </c>
      <c r="E76" t="s">
        <v>548</v>
      </c>
      <c r="F76" t="s">
        <v>532</v>
      </c>
      <c r="G76" t="s">
        <v>2</v>
      </c>
      <c r="H76" s="11">
        <v>139</v>
      </c>
      <c r="I76" s="18">
        <v>1.0711999999999999</v>
      </c>
      <c r="J76" s="18">
        <v>0.67810000000000004</v>
      </c>
      <c r="K76" s="18">
        <v>1.6083000000000001</v>
      </c>
      <c r="L76" s="18">
        <v>0.53900000000000003</v>
      </c>
    </row>
    <row r="77" spans="1:12">
      <c r="A77" t="s">
        <v>528</v>
      </c>
      <c r="B77">
        <v>0.3</v>
      </c>
      <c r="C77">
        <v>256</v>
      </c>
      <c r="D77" s="1" t="b">
        <v>0</v>
      </c>
      <c r="E77" t="s">
        <v>547</v>
      </c>
      <c r="F77" t="s">
        <v>531</v>
      </c>
      <c r="G77" t="s">
        <v>0</v>
      </c>
      <c r="H77" s="11">
        <v>147</v>
      </c>
      <c r="I77" s="18">
        <v>0.46150000000000002</v>
      </c>
      <c r="J77" s="18">
        <v>0.86699999999999999</v>
      </c>
      <c r="K77" s="18">
        <v>1.982</v>
      </c>
      <c r="L77" s="18">
        <v>0.53800000000000003</v>
      </c>
    </row>
    <row r="78" spans="1:12">
      <c r="A78" t="s">
        <v>528</v>
      </c>
      <c r="B78">
        <v>0.1</v>
      </c>
      <c r="C78">
        <v>256</v>
      </c>
      <c r="D78" s="1" t="b">
        <v>0</v>
      </c>
      <c r="E78" t="s">
        <v>548</v>
      </c>
      <c r="F78" t="s">
        <v>532</v>
      </c>
      <c r="G78" t="s">
        <v>3</v>
      </c>
      <c r="H78" s="11">
        <v>142</v>
      </c>
      <c r="I78" s="18">
        <v>0.76400000000000001</v>
      </c>
      <c r="J78" s="18">
        <v>0.77210000000000001</v>
      </c>
      <c r="K78" s="18">
        <v>1.7421</v>
      </c>
      <c r="L78" s="18">
        <v>0.53800000000000003</v>
      </c>
    </row>
    <row r="79" spans="1:12">
      <c r="A79" t="s">
        <v>528</v>
      </c>
      <c r="B79">
        <v>0.3</v>
      </c>
      <c r="C79">
        <v>64</v>
      </c>
      <c r="D79" s="1" t="b">
        <v>0</v>
      </c>
      <c r="E79" t="s">
        <v>547</v>
      </c>
      <c r="F79" t="s">
        <v>532</v>
      </c>
      <c r="G79" t="s">
        <v>2</v>
      </c>
      <c r="H79" s="11">
        <v>42</v>
      </c>
      <c r="I79" s="18">
        <v>1.3197000000000001</v>
      </c>
      <c r="J79" s="18">
        <v>0.60550000000000004</v>
      </c>
      <c r="K79" s="18">
        <v>1.7235</v>
      </c>
      <c r="L79" s="18">
        <v>0.53800000000000003</v>
      </c>
    </row>
    <row r="80" spans="1:12">
      <c r="A80" t="s">
        <v>528</v>
      </c>
      <c r="B80">
        <v>0.1</v>
      </c>
      <c r="C80">
        <v>64</v>
      </c>
      <c r="D80" s="1" t="b">
        <v>0</v>
      </c>
      <c r="E80" t="s">
        <v>548</v>
      </c>
      <c r="F80" t="s">
        <v>531</v>
      </c>
      <c r="G80" t="s">
        <v>3</v>
      </c>
      <c r="H80" s="11">
        <v>49</v>
      </c>
      <c r="I80" s="18">
        <v>0.2379</v>
      </c>
      <c r="J80" s="18">
        <v>0.93659999999999999</v>
      </c>
      <c r="K80" s="18">
        <v>2.3650000000000002</v>
      </c>
      <c r="L80" s="18">
        <v>0.53749999999999998</v>
      </c>
    </row>
    <row r="81" spans="1:12">
      <c r="A81" t="s">
        <v>528</v>
      </c>
      <c r="B81">
        <v>0.3</v>
      </c>
      <c r="C81">
        <v>256</v>
      </c>
      <c r="D81" s="1" t="b">
        <v>0</v>
      </c>
      <c r="E81" t="s">
        <v>547</v>
      </c>
      <c r="F81" t="s">
        <v>531</v>
      </c>
      <c r="G81" t="s">
        <v>5</v>
      </c>
      <c r="H81" s="11">
        <v>143</v>
      </c>
      <c r="I81" s="18">
        <v>0.25559999999999999</v>
      </c>
      <c r="J81" s="18">
        <v>0.92630000000000001</v>
      </c>
      <c r="K81" s="18">
        <v>2.2025000000000001</v>
      </c>
      <c r="L81" s="18">
        <v>0.53749999999999998</v>
      </c>
    </row>
    <row r="82" spans="1:12">
      <c r="A82" t="s">
        <v>528</v>
      </c>
      <c r="B82">
        <v>0.1</v>
      </c>
      <c r="C82">
        <v>64</v>
      </c>
      <c r="D82" s="1" t="b">
        <v>0</v>
      </c>
      <c r="E82" t="s">
        <v>548</v>
      </c>
      <c r="F82" t="s">
        <v>532</v>
      </c>
      <c r="G82" t="s">
        <v>5</v>
      </c>
      <c r="H82" s="11">
        <v>48</v>
      </c>
      <c r="I82" s="18">
        <v>0.59470000000000001</v>
      </c>
      <c r="J82" s="18">
        <v>0.82709999999999995</v>
      </c>
      <c r="K82" s="18">
        <v>1.9540999999999999</v>
      </c>
      <c r="L82" s="18">
        <v>0.53749999999999998</v>
      </c>
    </row>
    <row r="83" spans="1:12">
      <c r="A83" t="s">
        <v>528</v>
      </c>
      <c r="B83">
        <v>0.5</v>
      </c>
      <c r="C83">
        <v>256</v>
      </c>
      <c r="D83" s="1" t="b">
        <v>0</v>
      </c>
      <c r="E83" t="s">
        <v>547</v>
      </c>
      <c r="F83" t="s">
        <v>532</v>
      </c>
      <c r="G83" t="s">
        <v>2</v>
      </c>
      <c r="H83" s="11">
        <v>174</v>
      </c>
      <c r="I83" s="18">
        <v>1.3079000000000001</v>
      </c>
      <c r="J83" s="18">
        <v>0.60460000000000003</v>
      </c>
      <c r="K83" s="18">
        <v>1.7229000000000001</v>
      </c>
      <c r="L83" s="18">
        <v>0.53749999999999998</v>
      </c>
    </row>
    <row r="84" spans="1:12">
      <c r="A84" t="s">
        <v>528</v>
      </c>
      <c r="B84">
        <v>0.1</v>
      </c>
      <c r="C84">
        <v>128</v>
      </c>
      <c r="D84" s="1" t="b">
        <v>0</v>
      </c>
      <c r="E84" t="s">
        <v>547</v>
      </c>
      <c r="F84" t="s">
        <v>531</v>
      </c>
      <c r="G84" t="s">
        <v>1</v>
      </c>
      <c r="H84" s="11">
        <v>92</v>
      </c>
      <c r="I84" s="18">
        <v>0.35680000000000001</v>
      </c>
      <c r="J84" s="18">
        <v>0.89839999999999998</v>
      </c>
      <c r="K84" s="18">
        <v>2.1859000000000002</v>
      </c>
      <c r="L84" s="18">
        <v>0.53700000000000003</v>
      </c>
    </row>
    <row r="85" spans="1:12">
      <c r="A85" t="s">
        <v>528</v>
      </c>
      <c r="B85">
        <v>0.3</v>
      </c>
      <c r="C85">
        <v>64</v>
      </c>
      <c r="D85" s="1" t="b">
        <v>0</v>
      </c>
      <c r="E85" t="s">
        <v>548</v>
      </c>
      <c r="F85" t="s">
        <v>532</v>
      </c>
      <c r="G85" t="s">
        <v>2</v>
      </c>
      <c r="H85" s="11">
        <v>41</v>
      </c>
      <c r="I85" s="18">
        <v>0.87180000000000002</v>
      </c>
      <c r="J85" s="18">
        <v>0.75260000000000005</v>
      </c>
      <c r="K85" s="18">
        <v>1.7641</v>
      </c>
      <c r="L85" s="18">
        <v>0.53700000000000003</v>
      </c>
    </row>
    <row r="86" spans="1:12">
      <c r="A86" t="s">
        <v>528</v>
      </c>
      <c r="B86">
        <v>0.5</v>
      </c>
      <c r="C86">
        <v>128</v>
      </c>
      <c r="D86" s="1" t="b">
        <v>0</v>
      </c>
      <c r="E86" t="s">
        <v>547</v>
      </c>
      <c r="F86" t="s">
        <v>532</v>
      </c>
      <c r="G86" t="s">
        <v>2</v>
      </c>
      <c r="H86" s="11">
        <v>75</v>
      </c>
      <c r="I86" s="18">
        <v>1.3309</v>
      </c>
      <c r="J86" s="18">
        <v>0.60360000000000003</v>
      </c>
      <c r="K86" s="18">
        <v>1.7232000000000001</v>
      </c>
      <c r="L86" s="18">
        <v>0.53700000000000003</v>
      </c>
    </row>
    <row r="87" spans="1:12">
      <c r="A87" t="s">
        <v>528</v>
      </c>
      <c r="B87">
        <v>0.5</v>
      </c>
      <c r="C87">
        <v>128</v>
      </c>
      <c r="D87" s="1" t="b">
        <v>0</v>
      </c>
      <c r="E87" t="s">
        <v>547</v>
      </c>
      <c r="F87" t="s">
        <v>531</v>
      </c>
      <c r="G87" t="s">
        <v>1</v>
      </c>
      <c r="H87" s="11">
        <v>76</v>
      </c>
      <c r="I87" s="18">
        <v>0.55820000000000003</v>
      </c>
      <c r="J87" s="18">
        <v>0.83919999999999995</v>
      </c>
      <c r="K87" s="18">
        <v>1.9345000000000001</v>
      </c>
      <c r="L87" s="18">
        <v>0.53600000000000003</v>
      </c>
    </row>
    <row r="88" spans="1:12">
      <c r="A88" t="s">
        <v>528</v>
      </c>
      <c r="B88">
        <v>0.3</v>
      </c>
      <c r="C88">
        <v>128</v>
      </c>
      <c r="D88" s="1" t="b">
        <v>0</v>
      </c>
      <c r="E88" t="s">
        <v>547</v>
      </c>
      <c r="F88" t="s">
        <v>531</v>
      </c>
      <c r="G88" t="s">
        <v>2</v>
      </c>
      <c r="H88" s="11">
        <v>74</v>
      </c>
      <c r="I88" s="18">
        <v>0.39750000000000002</v>
      </c>
      <c r="J88" s="18">
        <v>0.8881</v>
      </c>
      <c r="K88" s="18">
        <v>2.177</v>
      </c>
      <c r="L88" s="18">
        <v>0.53600000000000003</v>
      </c>
    </row>
    <row r="89" spans="1:12">
      <c r="A89" t="s">
        <v>528</v>
      </c>
      <c r="B89">
        <v>0.5</v>
      </c>
      <c r="C89">
        <v>256</v>
      </c>
      <c r="D89" s="1" t="b">
        <v>0</v>
      </c>
      <c r="E89" t="s">
        <v>547</v>
      </c>
      <c r="F89" t="s">
        <v>531</v>
      </c>
      <c r="G89" t="s">
        <v>4</v>
      </c>
      <c r="H89" s="11">
        <v>145</v>
      </c>
      <c r="I89" s="18">
        <v>0.40160000000000001</v>
      </c>
      <c r="J89" s="18">
        <v>0.88100000000000001</v>
      </c>
      <c r="K89" s="18">
        <v>1.9785999999999999</v>
      </c>
      <c r="L89" s="18">
        <v>0.53600000000000003</v>
      </c>
    </row>
    <row r="90" spans="1:12">
      <c r="A90" t="s">
        <v>528</v>
      </c>
      <c r="B90">
        <v>0.1</v>
      </c>
      <c r="C90">
        <v>256</v>
      </c>
      <c r="D90" s="1" t="b">
        <v>0</v>
      </c>
      <c r="E90" t="s">
        <v>548</v>
      </c>
      <c r="F90" t="s">
        <v>532</v>
      </c>
      <c r="G90" t="s">
        <v>5</v>
      </c>
      <c r="H90" s="11">
        <v>144</v>
      </c>
      <c r="I90" s="18">
        <v>0.63929999999999998</v>
      </c>
      <c r="J90" s="18">
        <v>0.81169999999999998</v>
      </c>
      <c r="K90" s="18">
        <v>1.8831</v>
      </c>
      <c r="L90" s="18">
        <v>0.53600000000000003</v>
      </c>
    </row>
    <row r="91" spans="1:12">
      <c r="A91" t="s">
        <v>528</v>
      </c>
      <c r="B91">
        <v>0.3</v>
      </c>
      <c r="C91">
        <v>256</v>
      </c>
      <c r="D91" s="1" t="b">
        <v>0</v>
      </c>
      <c r="E91" t="s">
        <v>548</v>
      </c>
      <c r="F91" t="s">
        <v>532</v>
      </c>
      <c r="G91" t="s">
        <v>0</v>
      </c>
      <c r="H91" s="11">
        <v>140</v>
      </c>
      <c r="I91" s="18">
        <v>1.0765</v>
      </c>
      <c r="J91" s="18">
        <v>0.67849999999999999</v>
      </c>
      <c r="K91" s="18">
        <v>1.6840999999999999</v>
      </c>
      <c r="L91" s="18">
        <v>0.53600000000000003</v>
      </c>
    </row>
    <row r="92" spans="1:12">
      <c r="A92" t="s">
        <v>528</v>
      </c>
      <c r="B92">
        <v>0.5</v>
      </c>
      <c r="C92">
        <v>128</v>
      </c>
      <c r="D92" s="1" t="b">
        <v>0</v>
      </c>
      <c r="E92" t="s">
        <v>548</v>
      </c>
      <c r="F92" t="s">
        <v>532</v>
      </c>
      <c r="G92" t="s">
        <v>0</v>
      </c>
      <c r="H92" s="11">
        <v>74</v>
      </c>
      <c r="I92" s="18">
        <v>1.1755</v>
      </c>
      <c r="J92" s="18">
        <v>0.65759999999999996</v>
      </c>
      <c r="K92" s="18">
        <v>1.6766000000000001</v>
      </c>
      <c r="L92" s="18">
        <v>0.53500000000000003</v>
      </c>
    </row>
    <row r="93" spans="1:12">
      <c r="A93" t="s">
        <v>528</v>
      </c>
      <c r="B93">
        <v>0.1</v>
      </c>
      <c r="C93">
        <v>128</v>
      </c>
      <c r="D93" s="1" t="b">
        <v>0</v>
      </c>
      <c r="E93" t="s">
        <v>547</v>
      </c>
      <c r="F93" t="s">
        <v>531</v>
      </c>
      <c r="G93" t="s">
        <v>0</v>
      </c>
      <c r="H93" s="11">
        <v>91</v>
      </c>
      <c r="I93" s="18">
        <v>0.39950000000000002</v>
      </c>
      <c r="J93" s="18">
        <v>0.8921</v>
      </c>
      <c r="K93" s="18">
        <v>2.1916000000000002</v>
      </c>
      <c r="L93" s="18">
        <v>0.53400000000000003</v>
      </c>
    </row>
    <row r="94" spans="1:12">
      <c r="A94" t="s">
        <v>528</v>
      </c>
      <c r="B94">
        <v>0.1</v>
      </c>
      <c r="C94">
        <v>256</v>
      </c>
      <c r="D94" s="1" t="b">
        <v>0</v>
      </c>
      <c r="E94" t="s">
        <v>547</v>
      </c>
      <c r="F94" t="s">
        <v>531</v>
      </c>
      <c r="G94" t="s">
        <v>0</v>
      </c>
      <c r="H94" s="11">
        <v>151</v>
      </c>
      <c r="I94" s="18">
        <v>0.39079999999999998</v>
      </c>
      <c r="J94" s="18">
        <v>0.89059999999999995</v>
      </c>
      <c r="K94" s="18">
        <v>2.0423</v>
      </c>
      <c r="L94" s="18">
        <v>0.53400000000000003</v>
      </c>
    </row>
    <row r="95" spans="1:12">
      <c r="A95" t="s">
        <v>528</v>
      </c>
      <c r="B95">
        <v>0.3</v>
      </c>
      <c r="C95">
        <v>128</v>
      </c>
      <c r="D95" s="1" t="b">
        <v>0</v>
      </c>
      <c r="E95" t="s">
        <v>548</v>
      </c>
      <c r="F95" t="s">
        <v>531</v>
      </c>
      <c r="G95" t="s">
        <v>4</v>
      </c>
      <c r="H95" s="11">
        <v>74</v>
      </c>
      <c r="I95" s="18">
        <v>0.25059999999999999</v>
      </c>
      <c r="J95" s="18">
        <v>0.93130000000000002</v>
      </c>
      <c r="K95" s="18">
        <v>2.2444999999999999</v>
      </c>
      <c r="L95" s="18">
        <v>0.53400000000000003</v>
      </c>
    </row>
    <row r="96" spans="1:12">
      <c r="A96" t="s">
        <v>528</v>
      </c>
      <c r="B96">
        <v>0.1</v>
      </c>
      <c r="C96">
        <v>128</v>
      </c>
      <c r="D96" s="1" t="b">
        <v>0</v>
      </c>
      <c r="E96" t="s">
        <v>548</v>
      </c>
      <c r="F96" t="s">
        <v>532</v>
      </c>
      <c r="G96" t="s">
        <v>1</v>
      </c>
      <c r="H96" s="11">
        <v>72</v>
      </c>
      <c r="I96" s="18">
        <v>0.8347</v>
      </c>
      <c r="J96" s="18">
        <v>0.75800000000000001</v>
      </c>
      <c r="K96" s="18">
        <v>1.8519000000000001</v>
      </c>
      <c r="L96" s="18">
        <v>0.53400000000000003</v>
      </c>
    </row>
    <row r="97" spans="1:12">
      <c r="A97" t="s">
        <v>528</v>
      </c>
      <c r="B97">
        <v>0.3</v>
      </c>
      <c r="C97">
        <v>64</v>
      </c>
      <c r="D97" s="1" t="b">
        <v>0</v>
      </c>
      <c r="E97" t="s">
        <v>548</v>
      </c>
      <c r="F97" t="s">
        <v>532</v>
      </c>
      <c r="G97" t="s">
        <v>4</v>
      </c>
      <c r="H97" s="11">
        <v>41</v>
      </c>
      <c r="I97" s="18">
        <v>0.75680000000000003</v>
      </c>
      <c r="J97" s="18">
        <v>0.78810000000000002</v>
      </c>
      <c r="K97" s="18">
        <v>1.8107</v>
      </c>
      <c r="L97" s="18">
        <v>0.53400000000000003</v>
      </c>
    </row>
    <row r="98" spans="1:12">
      <c r="A98" t="s">
        <v>528</v>
      </c>
      <c r="B98">
        <v>0.5</v>
      </c>
      <c r="C98">
        <v>256</v>
      </c>
      <c r="D98" s="1" t="b">
        <v>0</v>
      </c>
      <c r="E98" t="s">
        <v>548</v>
      </c>
      <c r="F98" t="s">
        <v>531</v>
      </c>
      <c r="G98" t="s">
        <v>0</v>
      </c>
      <c r="H98" s="11">
        <v>142</v>
      </c>
      <c r="I98" s="18">
        <v>0.50839999999999996</v>
      </c>
      <c r="J98" s="18">
        <v>0.84909999999999997</v>
      </c>
      <c r="K98" s="18">
        <v>1.8971</v>
      </c>
      <c r="L98" s="18">
        <v>0.53349999999999997</v>
      </c>
    </row>
    <row r="99" spans="1:12">
      <c r="A99" t="s">
        <v>528</v>
      </c>
      <c r="B99">
        <v>0.3</v>
      </c>
      <c r="C99">
        <v>64</v>
      </c>
      <c r="D99" s="1" t="b">
        <v>0</v>
      </c>
      <c r="E99" t="s">
        <v>547</v>
      </c>
      <c r="F99" t="s">
        <v>531</v>
      </c>
      <c r="G99" t="s">
        <v>1</v>
      </c>
      <c r="H99" s="11">
        <v>42</v>
      </c>
      <c r="I99" s="18">
        <v>0.45729999999999998</v>
      </c>
      <c r="J99" s="18">
        <v>0.87409999999999999</v>
      </c>
      <c r="K99" s="18">
        <v>2.1555</v>
      </c>
      <c r="L99" s="18">
        <v>0.53349999999999997</v>
      </c>
    </row>
    <row r="100" spans="1:12">
      <c r="A100" t="s">
        <v>528</v>
      </c>
      <c r="B100">
        <v>0.1</v>
      </c>
      <c r="C100">
        <v>128</v>
      </c>
      <c r="D100" s="1" t="b">
        <v>0</v>
      </c>
      <c r="E100" t="s">
        <v>548</v>
      </c>
      <c r="F100" t="s">
        <v>532</v>
      </c>
      <c r="G100" t="s">
        <v>3</v>
      </c>
      <c r="H100" s="11">
        <v>72</v>
      </c>
      <c r="I100" s="18">
        <v>0.69140000000000001</v>
      </c>
      <c r="J100" s="18">
        <v>0.79649999999999999</v>
      </c>
      <c r="K100" s="18">
        <v>1.8740000000000001</v>
      </c>
      <c r="L100" s="18">
        <v>0.53349999999999997</v>
      </c>
    </row>
    <row r="101" spans="1:12">
      <c r="A101" t="s">
        <v>528</v>
      </c>
      <c r="B101">
        <v>0.1</v>
      </c>
      <c r="C101">
        <v>128</v>
      </c>
      <c r="D101" s="1" t="b">
        <v>0</v>
      </c>
      <c r="E101" t="s">
        <v>547</v>
      </c>
      <c r="F101" t="s">
        <v>532</v>
      </c>
      <c r="G101" t="s">
        <v>3</v>
      </c>
      <c r="H101" s="11">
        <v>73</v>
      </c>
      <c r="I101" s="18">
        <v>1.0042</v>
      </c>
      <c r="J101" s="18">
        <v>0.70699999999999996</v>
      </c>
      <c r="K101" s="18">
        <v>1.7771999999999999</v>
      </c>
      <c r="L101" s="18">
        <v>0.53349999999999997</v>
      </c>
    </row>
    <row r="102" spans="1:12">
      <c r="A102" t="s">
        <v>528</v>
      </c>
      <c r="B102">
        <v>0.1</v>
      </c>
      <c r="C102">
        <v>128</v>
      </c>
      <c r="D102" s="1" t="b">
        <v>0</v>
      </c>
      <c r="E102" t="s">
        <v>548</v>
      </c>
      <c r="F102" t="s">
        <v>532</v>
      </c>
      <c r="G102" t="s">
        <v>5</v>
      </c>
      <c r="H102" s="11">
        <v>85</v>
      </c>
      <c r="I102" s="18">
        <v>0.58179999999999998</v>
      </c>
      <c r="J102" s="18">
        <v>0.82899999999999996</v>
      </c>
      <c r="K102" s="18">
        <v>1.9096</v>
      </c>
      <c r="L102" s="18">
        <v>0.53349999999999997</v>
      </c>
    </row>
    <row r="103" spans="1:12">
      <c r="A103" t="s">
        <v>528</v>
      </c>
      <c r="B103">
        <v>0.1</v>
      </c>
      <c r="C103">
        <v>64</v>
      </c>
      <c r="D103" s="1" t="b">
        <v>0</v>
      </c>
      <c r="E103" t="s">
        <v>547</v>
      </c>
      <c r="F103" t="s">
        <v>532</v>
      </c>
      <c r="G103" t="s">
        <v>3</v>
      </c>
      <c r="H103" s="11">
        <v>42</v>
      </c>
      <c r="I103" s="18">
        <v>1.0543</v>
      </c>
      <c r="J103" s="18">
        <v>0.69140000000000001</v>
      </c>
      <c r="K103" s="18">
        <v>1.8412999999999999</v>
      </c>
      <c r="L103" s="18">
        <v>0.53300000000000003</v>
      </c>
    </row>
    <row r="104" spans="1:12">
      <c r="A104" t="s">
        <v>528</v>
      </c>
      <c r="B104">
        <v>0.1</v>
      </c>
      <c r="C104">
        <v>128</v>
      </c>
      <c r="D104" s="1" t="b">
        <v>0</v>
      </c>
      <c r="E104" t="s">
        <v>547</v>
      </c>
      <c r="F104" t="s">
        <v>531</v>
      </c>
      <c r="G104" t="s">
        <v>4</v>
      </c>
      <c r="H104" s="11">
        <v>93</v>
      </c>
      <c r="I104" s="18">
        <v>0.23300000000000001</v>
      </c>
      <c r="J104" s="18">
        <v>0.93369999999999997</v>
      </c>
      <c r="K104" s="18">
        <v>2.4651999999999998</v>
      </c>
      <c r="L104" s="18">
        <v>0.53249999999999997</v>
      </c>
    </row>
    <row r="105" spans="1:12">
      <c r="A105" t="s">
        <v>528</v>
      </c>
      <c r="B105">
        <v>0.3</v>
      </c>
      <c r="C105">
        <v>128</v>
      </c>
      <c r="D105" s="1" t="b">
        <v>0</v>
      </c>
      <c r="E105" t="s">
        <v>548</v>
      </c>
      <c r="F105" t="s">
        <v>532</v>
      </c>
      <c r="G105" t="s">
        <v>0</v>
      </c>
      <c r="H105" s="11">
        <v>73</v>
      </c>
      <c r="I105" s="18">
        <v>1.0303</v>
      </c>
      <c r="J105" s="18">
        <v>0.69020000000000004</v>
      </c>
      <c r="K105" s="18">
        <v>1.6900999999999999</v>
      </c>
      <c r="L105" s="18">
        <v>0.53249999999999997</v>
      </c>
    </row>
    <row r="106" spans="1:12">
      <c r="A106" t="s">
        <v>528</v>
      </c>
      <c r="B106">
        <v>0.1</v>
      </c>
      <c r="C106">
        <v>128</v>
      </c>
      <c r="D106" s="1" t="b">
        <v>0</v>
      </c>
      <c r="E106" t="s">
        <v>547</v>
      </c>
      <c r="F106" t="s">
        <v>531</v>
      </c>
      <c r="G106" t="s">
        <v>3</v>
      </c>
      <c r="H106" s="11">
        <v>93</v>
      </c>
      <c r="I106" s="18">
        <v>0.27379999999999999</v>
      </c>
      <c r="J106" s="18">
        <v>0.92159999999999997</v>
      </c>
      <c r="K106" s="18">
        <v>2.3361000000000001</v>
      </c>
      <c r="L106" s="18">
        <v>0.53200000000000003</v>
      </c>
    </row>
    <row r="107" spans="1:12">
      <c r="A107" t="s">
        <v>528</v>
      </c>
      <c r="B107">
        <v>0.3</v>
      </c>
      <c r="C107">
        <v>256</v>
      </c>
      <c r="D107" s="1" t="b">
        <v>0</v>
      </c>
      <c r="E107" t="s">
        <v>547</v>
      </c>
      <c r="F107" t="s">
        <v>531</v>
      </c>
      <c r="G107" t="s">
        <v>1</v>
      </c>
      <c r="H107" s="11">
        <v>163</v>
      </c>
      <c r="I107" s="18">
        <v>0.39369999999999999</v>
      </c>
      <c r="J107" s="18">
        <v>0.88480000000000003</v>
      </c>
      <c r="K107" s="18">
        <v>1.9545999999999999</v>
      </c>
      <c r="L107" s="18">
        <v>0.53149999999999997</v>
      </c>
    </row>
    <row r="108" spans="1:12">
      <c r="A108" t="s">
        <v>528</v>
      </c>
      <c r="B108">
        <v>0.1</v>
      </c>
      <c r="C108">
        <v>256</v>
      </c>
      <c r="D108" s="1" t="b">
        <v>0</v>
      </c>
      <c r="E108" t="s">
        <v>548</v>
      </c>
      <c r="F108" t="s">
        <v>532</v>
      </c>
      <c r="G108" t="s">
        <v>1</v>
      </c>
      <c r="H108" s="11">
        <v>140</v>
      </c>
      <c r="I108" s="18">
        <v>0.93959999999999999</v>
      </c>
      <c r="J108" s="18">
        <v>0.72199999999999998</v>
      </c>
      <c r="K108" s="18">
        <v>1.6862999999999999</v>
      </c>
      <c r="L108" s="18">
        <v>0.53149999999999997</v>
      </c>
    </row>
    <row r="109" spans="1:12">
      <c r="A109" t="s">
        <v>528</v>
      </c>
      <c r="B109">
        <v>0.1</v>
      </c>
      <c r="C109">
        <v>64</v>
      </c>
      <c r="D109" s="1" t="b">
        <v>0</v>
      </c>
      <c r="E109" t="s">
        <v>548</v>
      </c>
      <c r="F109" t="s">
        <v>532</v>
      </c>
      <c r="G109" t="s">
        <v>3</v>
      </c>
      <c r="H109" s="11">
        <v>48</v>
      </c>
      <c r="I109" s="18">
        <v>0.71419999999999995</v>
      </c>
      <c r="J109" s="18">
        <v>0.79469999999999996</v>
      </c>
      <c r="K109" s="18">
        <v>1.8481000000000001</v>
      </c>
      <c r="L109" s="18">
        <v>0.53100000000000003</v>
      </c>
    </row>
    <row r="110" spans="1:12">
      <c r="A110" t="s">
        <v>528</v>
      </c>
      <c r="B110">
        <v>0.3</v>
      </c>
      <c r="C110">
        <v>256</v>
      </c>
      <c r="D110" s="1" t="b">
        <v>0</v>
      </c>
      <c r="E110" t="s">
        <v>548</v>
      </c>
      <c r="F110" t="s">
        <v>531</v>
      </c>
      <c r="G110" t="s">
        <v>3</v>
      </c>
      <c r="H110" s="11">
        <v>141</v>
      </c>
      <c r="I110" s="18">
        <v>0.2732</v>
      </c>
      <c r="J110" s="18">
        <v>0.9194</v>
      </c>
      <c r="K110" s="18">
        <v>2.1680000000000001</v>
      </c>
      <c r="L110" s="18">
        <v>0.53100000000000003</v>
      </c>
    </row>
    <row r="111" spans="1:12">
      <c r="A111" t="s">
        <v>528</v>
      </c>
      <c r="B111">
        <v>0.5</v>
      </c>
      <c r="C111">
        <v>256</v>
      </c>
      <c r="D111" s="1" t="b">
        <v>0</v>
      </c>
      <c r="E111" t="s">
        <v>547</v>
      </c>
      <c r="F111" t="s">
        <v>531</v>
      </c>
      <c r="G111" t="s">
        <v>3</v>
      </c>
      <c r="H111" s="11">
        <v>169</v>
      </c>
      <c r="I111" s="18">
        <v>0.45850000000000002</v>
      </c>
      <c r="J111" s="18">
        <v>0.86550000000000005</v>
      </c>
      <c r="K111" s="18">
        <v>1.9105000000000001</v>
      </c>
      <c r="L111" s="18">
        <v>0.53100000000000003</v>
      </c>
    </row>
    <row r="112" spans="1:12">
      <c r="A112" t="s">
        <v>528</v>
      </c>
      <c r="B112">
        <v>0.1</v>
      </c>
      <c r="C112">
        <v>64</v>
      </c>
      <c r="D112" s="1" t="b">
        <v>0</v>
      </c>
      <c r="E112" t="s">
        <v>547</v>
      </c>
      <c r="F112" t="s">
        <v>531</v>
      </c>
      <c r="G112" t="s">
        <v>4</v>
      </c>
      <c r="H112" s="11">
        <v>42</v>
      </c>
      <c r="I112" s="18">
        <v>0.22550000000000001</v>
      </c>
      <c r="J112" s="18">
        <v>0.94059999999999999</v>
      </c>
      <c r="K112" s="18">
        <v>2.4098000000000002</v>
      </c>
      <c r="L112" s="18">
        <v>0.53100000000000003</v>
      </c>
    </row>
    <row r="113" spans="1:12">
      <c r="A113" t="s">
        <v>528</v>
      </c>
      <c r="B113">
        <v>0.3</v>
      </c>
      <c r="C113">
        <v>256</v>
      </c>
      <c r="D113" s="1" t="b">
        <v>0</v>
      </c>
      <c r="E113" t="s">
        <v>548</v>
      </c>
      <c r="F113" t="s">
        <v>531</v>
      </c>
      <c r="G113" t="s">
        <v>5</v>
      </c>
      <c r="H113" s="11">
        <v>142</v>
      </c>
      <c r="I113" s="18">
        <v>0.23250000000000001</v>
      </c>
      <c r="J113" s="18">
        <v>0.93359999999999999</v>
      </c>
      <c r="K113" s="18">
        <v>2.3148</v>
      </c>
      <c r="L113" s="18">
        <v>0.53100000000000003</v>
      </c>
    </row>
    <row r="114" spans="1:12">
      <c r="A114" t="s">
        <v>528</v>
      </c>
      <c r="B114">
        <v>0.1</v>
      </c>
      <c r="C114">
        <v>128</v>
      </c>
      <c r="D114" s="1" t="b">
        <v>0</v>
      </c>
      <c r="E114" t="s">
        <v>547</v>
      </c>
      <c r="F114" t="s">
        <v>532</v>
      </c>
      <c r="G114" t="s">
        <v>2</v>
      </c>
      <c r="H114" s="11">
        <v>73</v>
      </c>
      <c r="I114" s="18">
        <v>1.0943000000000001</v>
      </c>
      <c r="J114" s="18">
        <v>0.6794</v>
      </c>
      <c r="K114" s="18">
        <v>1.7677</v>
      </c>
      <c r="L114" s="18">
        <v>0.53100000000000003</v>
      </c>
    </row>
    <row r="115" spans="1:12">
      <c r="A115" t="s">
        <v>528</v>
      </c>
      <c r="B115">
        <v>0.5</v>
      </c>
      <c r="C115">
        <v>64</v>
      </c>
      <c r="D115" s="1" t="b">
        <v>0</v>
      </c>
      <c r="E115" t="s">
        <v>547</v>
      </c>
      <c r="F115" t="s">
        <v>531</v>
      </c>
      <c r="G115" t="s">
        <v>2</v>
      </c>
      <c r="H115" s="11">
        <v>50</v>
      </c>
      <c r="I115" s="18">
        <v>0.54659999999999997</v>
      </c>
      <c r="J115" s="18">
        <v>0.8417</v>
      </c>
      <c r="K115" s="18">
        <v>2.1467999999999998</v>
      </c>
      <c r="L115" s="18">
        <v>0.53049999999999997</v>
      </c>
    </row>
    <row r="116" spans="1:12">
      <c r="A116" t="s">
        <v>528</v>
      </c>
      <c r="B116">
        <v>0.1</v>
      </c>
      <c r="C116">
        <v>128</v>
      </c>
      <c r="D116" s="1" t="b">
        <v>0</v>
      </c>
      <c r="E116" t="s">
        <v>547</v>
      </c>
      <c r="F116" t="s">
        <v>531</v>
      </c>
      <c r="G116" t="s">
        <v>5</v>
      </c>
      <c r="H116" s="11">
        <v>93</v>
      </c>
      <c r="I116" s="18">
        <v>0.21560000000000001</v>
      </c>
      <c r="J116" s="18">
        <v>0.94359999999999999</v>
      </c>
      <c r="K116" s="18">
        <v>2.4910999999999999</v>
      </c>
      <c r="L116" s="18">
        <v>0.53049999999999997</v>
      </c>
    </row>
    <row r="117" spans="1:12">
      <c r="A117" t="s">
        <v>528</v>
      </c>
      <c r="B117">
        <v>0.1</v>
      </c>
      <c r="C117">
        <v>128</v>
      </c>
      <c r="D117" s="1" t="b">
        <v>0</v>
      </c>
      <c r="E117" t="s">
        <v>547</v>
      </c>
      <c r="F117" t="s">
        <v>531</v>
      </c>
      <c r="G117" t="s">
        <v>2</v>
      </c>
      <c r="H117" s="11">
        <v>93</v>
      </c>
      <c r="I117" s="18">
        <v>0.3105</v>
      </c>
      <c r="J117" s="18">
        <v>0.9143</v>
      </c>
      <c r="K117" s="18">
        <v>2.2972000000000001</v>
      </c>
      <c r="L117" s="18">
        <v>0.53</v>
      </c>
    </row>
    <row r="118" spans="1:12">
      <c r="A118" t="s">
        <v>528</v>
      </c>
      <c r="B118">
        <v>0.3</v>
      </c>
      <c r="C118">
        <v>64</v>
      </c>
      <c r="D118" s="1" t="b">
        <v>0</v>
      </c>
      <c r="E118" t="s">
        <v>547</v>
      </c>
      <c r="F118" t="s">
        <v>531</v>
      </c>
      <c r="G118" t="s">
        <v>5</v>
      </c>
      <c r="H118" s="11">
        <v>43</v>
      </c>
      <c r="I118" s="18">
        <v>0.28620000000000001</v>
      </c>
      <c r="J118" s="18">
        <v>0.92549999999999999</v>
      </c>
      <c r="K118" s="18">
        <v>2.3481000000000001</v>
      </c>
      <c r="L118" s="18">
        <v>0.53</v>
      </c>
    </row>
    <row r="119" spans="1:12">
      <c r="A119" t="s">
        <v>528</v>
      </c>
      <c r="B119">
        <v>0.1</v>
      </c>
      <c r="C119">
        <v>256</v>
      </c>
      <c r="D119" s="1" t="b">
        <v>0</v>
      </c>
      <c r="E119" t="s">
        <v>547</v>
      </c>
      <c r="F119" t="s">
        <v>531</v>
      </c>
      <c r="G119" t="s">
        <v>2</v>
      </c>
      <c r="H119" s="11">
        <v>165</v>
      </c>
      <c r="I119" s="18">
        <v>0.29320000000000002</v>
      </c>
      <c r="J119" s="18">
        <v>0.91610000000000003</v>
      </c>
      <c r="K119" s="18">
        <v>2.2023000000000001</v>
      </c>
      <c r="L119" s="18">
        <v>0.52949999999999997</v>
      </c>
    </row>
    <row r="120" spans="1:12">
      <c r="A120" t="s">
        <v>528</v>
      </c>
      <c r="B120">
        <v>0.5</v>
      </c>
      <c r="C120">
        <v>64</v>
      </c>
      <c r="D120" s="1" t="b">
        <v>0</v>
      </c>
      <c r="E120" t="s">
        <v>547</v>
      </c>
      <c r="F120" t="s">
        <v>531</v>
      </c>
      <c r="G120" t="s">
        <v>3</v>
      </c>
      <c r="H120" s="11">
        <v>51</v>
      </c>
      <c r="I120" s="18">
        <v>0.47049999999999997</v>
      </c>
      <c r="J120" s="18">
        <v>0.86760000000000004</v>
      </c>
      <c r="K120" s="18">
        <v>2.1943000000000001</v>
      </c>
      <c r="L120" s="18">
        <v>0.52949999999999997</v>
      </c>
    </row>
    <row r="121" spans="1:12">
      <c r="A121" t="s">
        <v>528</v>
      </c>
      <c r="B121">
        <v>0.1</v>
      </c>
      <c r="C121">
        <v>256</v>
      </c>
      <c r="D121" s="1" t="b">
        <v>0</v>
      </c>
      <c r="E121" t="s">
        <v>548</v>
      </c>
      <c r="F121" t="s">
        <v>532</v>
      </c>
      <c r="G121" t="s">
        <v>2</v>
      </c>
      <c r="H121" s="11">
        <v>142</v>
      </c>
      <c r="I121" s="18">
        <v>0.87250000000000005</v>
      </c>
      <c r="J121" s="18">
        <v>0.74590000000000001</v>
      </c>
      <c r="K121" s="18">
        <v>1.7426999999999999</v>
      </c>
      <c r="L121" s="18">
        <v>0.52949999999999997</v>
      </c>
    </row>
    <row r="122" spans="1:12">
      <c r="A122" t="s">
        <v>528</v>
      </c>
      <c r="B122">
        <v>0.5</v>
      </c>
      <c r="C122">
        <v>256</v>
      </c>
      <c r="D122" s="1" t="b">
        <v>0</v>
      </c>
      <c r="E122" t="s">
        <v>547</v>
      </c>
      <c r="F122" t="s">
        <v>531</v>
      </c>
      <c r="G122" t="s">
        <v>1</v>
      </c>
      <c r="H122" s="11">
        <v>171</v>
      </c>
      <c r="I122" s="18">
        <v>0.57240000000000002</v>
      </c>
      <c r="J122" s="18">
        <v>0.83289999999999997</v>
      </c>
      <c r="K122" s="18">
        <v>1.9710000000000001</v>
      </c>
      <c r="L122" s="18">
        <v>0.52900000000000003</v>
      </c>
    </row>
    <row r="123" spans="1:12">
      <c r="A123" t="s">
        <v>528</v>
      </c>
      <c r="B123">
        <v>0.5</v>
      </c>
      <c r="C123">
        <v>64</v>
      </c>
      <c r="D123" s="1" t="b">
        <v>0</v>
      </c>
      <c r="E123" t="s">
        <v>548</v>
      </c>
      <c r="F123" t="s">
        <v>531</v>
      </c>
      <c r="G123" t="s">
        <v>0</v>
      </c>
      <c r="H123" s="11">
        <v>51</v>
      </c>
      <c r="I123" s="18">
        <v>0.51139999999999997</v>
      </c>
      <c r="J123" s="18">
        <v>0.85529999999999995</v>
      </c>
      <c r="K123" s="18">
        <v>2.0245000000000002</v>
      </c>
      <c r="L123" s="18">
        <v>0.52849999999999997</v>
      </c>
    </row>
    <row r="124" spans="1:12">
      <c r="A124" t="s">
        <v>528</v>
      </c>
      <c r="B124">
        <v>0.3</v>
      </c>
      <c r="C124">
        <v>128</v>
      </c>
      <c r="D124" s="1" t="b">
        <v>0</v>
      </c>
      <c r="E124" t="s">
        <v>547</v>
      </c>
      <c r="F124" t="s">
        <v>531</v>
      </c>
      <c r="G124" t="s">
        <v>4</v>
      </c>
      <c r="H124" s="11">
        <v>72</v>
      </c>
      <c r="I124" s="18">
        <v>0.31869999999999998</v>
      </c>
      <c r="J124" s="18">
        <v>0.9103</v>
      </c>
      <c r="K124" s="18">
        <v>2.2465000000000002</v>
      </c>
      <c r="L124" s="18">
        <v>0.52849999999999997</v>
      </c>
    </row>
    <row r="125" spans="1:12">
      <c r="A125" t="s">
        <v>528</v>
      </c>
      <c r="B125">
        <v>0.1</v>
      </c>
      <c r="C125">
        <v>256</v>
      </c>
      <c r="D125" s="1" t="b">
        <v>0</v>
      </c>
      <c r="E125" t="s">
        <v>548</v>
      </c>
      <c r="F125" t="s">
        <v>531</v>
      </c>
      <c r="G125" t="s">
        <v>1</v>
      </c>
      <c r="H125" s="11">
        <v>137</v>
      </c>
      <c r="I125" s="18">
        <v>0.2515</v>
      </c>
      <c r="J125" s="18">
        <v>0.92659999999999998</v>
      </c>
      <c r="K125" s="18">
        <v>2.3170999999999999</v>
      </c>
      <c r="L125" s="18">
        <v>0.52800000000000002</v>
      </c>
    </row>
    <row r="126" spans="1:12">
      <c r="A126" t="s">
        <v>528</v>
      </c>
      <c r="B126">
        <v>0.5</v>
      </c>
      <c r="C126">
        <v>256</v>
      </c>
      <c r="D126" s="1" t="b">
        <v>0</v>
      </c>
      <c r="E126" t="s">
        <v>548</v>
      </c>
      <c r="F126" t="s">
        <v>531</v>
      </c>
      <c r="G126" t="s">
        <v>4</v>
      </c>
      <c r="H126" s="11">
        <v>142</v>
      </c>
      <c r="I126" s="18">
        <v>0.31309999999999999</v>
      </c>
      <c r="J126" s="18">
        <v>0.9103</v>
      </c>
      <c r="K126" s="18">
        <v>2.0794999999999999</v>
      </c>
      <c r="L126" s="18">
        <v>0.52800000000000002</v>
      </c>
    </row>
    <row r="127" spans="1:12">
      <c r="A127" t="s">
        <v>528</v>
      </c>
      <c r="B127">
        <v>0.1</v>
      </c>
      <c r="C127">
        <v>128</v>
      </c>
      <c r="D127" s="1" t="b">
        <v>0</v>
      </c>
      <c r="E127" t="s">
        <v>547</v>
      </c>
      <c r="F127" t="s">
        <v>532</v>
      </c>
      <c r="G127" t="s">
        <v>0</v>
      </c>
      <c r="H127" s="11">
        <v>79</v>
      </c>
      <c r="I127" s="18">
        <v>1.2744</v>
      </c>
      <c r="J127" s="18">
        <v>0.62360000000000004</v>
      </c>
      <c r="K127" s="18">
        <v>1.7827</v>
      </c>
      <c r="L127" s="18">
        <v>0.52749999999999997</v>
      </c>
    </row>
    <row r="128" spans="1:12">
      <c r="A128" t="s">
        <v>528</v>
      </c>
      <c r="B128">
        <v>0.3</v>
      </c>
      <c r="C128">
        <v>64</v>
      </c>
      <c r="D128" s="1" t="b">
        <v>0</v>
      </c>
      <c r="E128" t="s">
        <v>547</v>
      </c>
      <c r="F128" t="s">
        <v>531</v>
      </c>
      <c r="G128" t="s">
        <v>0</v>
      </c>
      <c r="H128" s="11">
        <v>42</v>
      </c>
      <c r="I128" s="18">
        <v>0.52669999999999995</v>
      </c>
      <c r="J128" s="18">
        <v>0.85599999999999998</v>
      </c>
      <c r="K128" s="18">
        <v>2.0869</v>
      </c>
      <c r="L128" s="18">
        <v>0.52749999999999997</v>
      </c>
    </row>
    <row r="129" spans="1:12">
      <c r="A129" t="s">
        <v>528</v>
      </c>
      <c r="B129">
        <v>0.3</v>
      </c>
      <c r="C129">
        <v>64</v>
      </c>
      <c r="D129" s="1" t="b">
        <v>0</v>
      </c>
      <c r="E129" t="s">
        <v>547</v>
      </c>
      <c r="F129" t="s">
        <v>531</v>
      </c>
      <c r="G129" t="s">
        <v>2</v>
      </c>
      <c r="H129" s="11">
        <v>42</v>
      </c>
      <c r="I129" s="18">
        <v>0.4012</v>
      </c>
      <c r="J129" s="18">
        <v>0.89200000000000002</v>
      </c>
      <c r="K129" s="18">
        <v>2.2633999999999999</v>
      </c>
      <c r="L129" s="18">
        <v>0.52749999999999997</v>
      </c>
    </row>
    <row r="130" spans="1:12">
      <c r="A130" t="s">
        <v>528</v>
      </c>
      <c r="B130">
        <v>0.1</v>
      </c>
      <c r="C130">
        <v>64</v>
      </c>
      <c r="D130" s="1" t="b">
        <v>0</v>
      </c>
      <c r="E130" t="s">
        <v>547</v>
      </c>
      <c r="F130" t="s">
        <v>531</v>
      </c>
      <c r="G130" t="s">
        <v>3</v>
      </c>
      <c r="H130" s="11">
        <v>42</v>
      </c>
      <c r="I130" s="18">
        <v>0.253</v>
      </c>
      <c r="J130" s="18">
        <v>0.93310000000000004</v>
      </c>
      <c r="K130" s="18">
        <v>2.4039000000000001</v>
      </c>
      <c r="L130" s="18">
        <v>0.52749999999999997</v>
      </c>
    </row>
    <row r="131" spans="1:12">
      <c r="A131" t="s">
        <v>528</v>
      </c>
      <c r="B131">
        <v>0.5</v>
      </c>
      <c r="C131">
        <v>128</v>
      </c>
      <c r="D131" s="1" t="b">
        <v>0</v>
      </c>
      <c r="E131" t="s">
        <v>548</v>
      </c>
      <c r="F131" t="s">
        <v>531</v>
      </c>
      <c r="G131" t="s">
        <v>3</v>
      </c>
      <c r="H131" s="11">
        <v>74</v>
      </c>
      <c r="I131" s="18">
        <v>0.3392</v>
      </c>
      <c r="J131" s="18">
        <v>0.89959999999999996</v>
      </c>
      <c r="K131" s="18">
        <v>2.0905</v>
      </c>
      <c r="L131" s="18">
        <v>0.52749999999999997</v>
      </c>
    </row>
    <row r="132" spans="1:12">
      <c r="A132" t="s">
        <v>528</v>
      </c>
      <c r="B132">
        <v>0.5</v>
      </c>
      <c r="C132">
        <v>128</v>
      </c>
      <c r="D132" s="1" t="b">
        <v>0</v>
      </c>
      <c r="E132" t="s">
        <v>547</v>
      </c>
      <c r="F132" t="s">
        <v>531</v>
      </c>
      <c r="G132" t="s">
        <v>2</v>
      </c>
      <c r="H132" s="11">
        <v>76</v>
      </c>
      <c r="I132" s="18">
        <v>0.53220000000000001</v>
      </c>
      <c r="J132" s="18">
        <v>0.84799999999999998</v>
      </c>
      <c r="K132" s="18">
        <v>2.0154000000000001</v>
      </c>
      <c r="L132" s="18">
        <v>0.52700000000000002</v>
      </c>
    </row>
    <row r="133" spans="1:12">
      <c r="A133" t="s">
        <v>528</v>
      </c>
      <c r="B133">
        <v>0.5</v>
      </c>
      <c r="C133">
        <v>256</v>
      </c>
      <c r="D133" s="1" t="b">
        <v>0</v>
      </c>
      <c r="E133" t="s">
        <v>548</v>
      </c>
      <c r="F133" t="s">
        <v>531</v>
      </c>
      <c r="G133" t="s">
        <v>3</v>
      </c>
      <c r="H133" s="11">
        <v>167</v>
      </c>
      <c r="I133" s="18">
        <v>0.37819999999999998</v>
      </c>
      <c r="J133" s="18">
        <v>0.88690000000000002</v>
      </c>
      <c r="K133" s="18">
        <v>1.9971000000000001</v>
      </c>
      <c r="L133" s="18">
        <v>0.52700000000000002</v>
      </c>
    </row>
    <row r="134" spans="1:12">
      <c r="A134" t="s">
        <v>528</v>
      </c>
      <c r="B134">
        <v>0.5</v>
      </c>
      <c r="C134">
        <v>64</v>
      </c>
      <c r="D134" s="1" t="b">
        <v>0</v>
      </c>
      <c r="E134" t="s">
        <v>548</v>
      </c>
      <c r="F134" t="s">
        <v>531</v>
      </c>
      <c r="G134" t="s">
        <v>4</v>
      </c>
      <c r="H134" s="11">
        <v>49</v>
      </c>
      <c r="I134" s="18">
        <v>0.31850000000000001</v>
      </c>
      <c r="J134" s="18">
        <v>0.91200000000000003</v>
      </c>
      <c r="K134" s="18">
        <v>2.2063000000000001</v>
      </c>
      <c r="L134" s="18">
        <v>0.52700000000000002</v>
      </c>
    </row>
    <row r="135" spans="1:12">
      <c r="A135" t="s">
        <v>528</v>
      </c>
      <c r="B135">
        <v>0.5</v>
      </c>
      <c r="C135">
        <v>256</v>
      </c>
      <c r="D135" s="1" t="b">
        <v>0</v>
      </c>
      <c r="E135" t="s">
        <v>548</v>
      </c>
      <c r="F135" t="s">
        <v>532</v>
      </c>
      <c r="G135" t="s">
        <v>1</v>
      </c>
      <c r="H135" s="11">
        <v>140</v>
      </c>
      <c r="I135" s="18">
        <v>1.1359999999999999</v>
      </c>
      <c r="J135" s="18">
        <v>0.66259999999999997</v>
      </c>
      <c r="K135" s="18">
        <v>1.6869000000000001</v>
      </c>
      <c r="L135" s="18">
        <v>0.52700000000000002</v>
      </c>
    </row>
    <row r="136" spans="1:12">
      <c r="A136" t="s">
        <v>528</v>
      </c>
      <c r="B136">
        <v>0.1</v>
      </c>
      <c r="C136">
        <v>64</v>
      </c>
      <c r="D136" s="1" t="b">
        <v>0</v>
      </c>
      <c r="E136" t="s">
        <v>548</v>
      </c>
      <c r="F136" t="s">
        <v>532</v>
      </c>
      <c r="G136" t="s">
        <v>2</v>
      </c>
      <c r="H136" s="11">
        <v>48</v>
      </c>
      <c r="I136" s="18">
        <v>0.78910000000000002</v>
      </c>
      <c r="J136" s="18">
        <v>0.77339999999999998</v>
      </c>
      <c r="K136" s="18">
        <v>1.8193999999999999</v>
      </c>
      <c r="L136" s="18">
        <v>0.52649999999999997</v>
      </c>
    </row>
    <row r="137" spans="1:12">
      <c r="A137" t="s">
        <v>528</v>
      </c>
      <c r="B137">
        <v>0.5</v>
      </c>
      <c r="C137">
        <v>128</v>
      </c>
      <c r="D137" s="1" t="b">
        <v>0</v>
      </c>
      <c r="E137" t="s">
        <v>547</v>
      </c>
      <c r="F137" t="s">
        <v>531</v>
      </c>
      <c r="G137" t="s">
        <v>0</v>
      </c>
      <c r="H137" s="11">
        <v>76</v>
      </c>
      <c r="I137" s="18">
        <v>0.63839999999999997</v>
      </c>
      <c r="J137" s="18">
        <v>0.81710000000000005</v>
      </c>
      <c r="K137" s="18">
        <v>1.9360999999999999</v>
      </c>
      <c r="L137" s="18">
        <v>0.52649999999999997</v>
      </c>
    </row>
    <row r="138" spans="1:12">
      <c r="A138" t="s">
        <v>528</v>
      </c>
      <c r="B138">
        <v>0.1</v>
      </c>
      <c r="C138">
        <v>128</v>
      </c>
      <c r="D138" s="1" t="b">
        <v>0</v>
      </c>
      <c r="E138" t="s">
        <v>548</v>
      </c>
      <c r="F138" t="s">
        <v>531</v>
      </c>
      <c r="G138" t="s">
        <v>2</v>
      </c>
      <c r="H138" s="11">
        <v>73</v>
      </c>
      <c r="I138" s="18">
        <v>0.22439999999999999</v>
      </c>
      <c r="J138" s="18">
        <v>0.93600000000000005</v>
      </c>
      <c r="K138" s="18">
        <v>2.3662000000000001</v>
      </c>
      <c r="L138" s="18">
        <v>0.52649999999999997</v>
      </c>
    </row>
    <row r="139" spans="1:12">
      <c r="A139" t="s">
        <v>528</v>
      </c>
      <c r="B139">
        <v>0.3</v>
      </c>
      <c r="C139">
        <v>64</v>
      </c>
      <c r="D139" s="1" t="b">
        <v>0</v>
      </c>
      <c r="E139" t="s">
        <v>548</v>
      </c>
      <c r="F139" t="s">
        <v>531</v>
      </c>
      <c r="G139" t="s">
        <v>2</v>
      </c>
      <c r="H139" s="11">
        <v>42</v>
      </c>
      <c r="I139" s="18">
        <v>0.30620000000000003</v>
      </c>
      <c r="J139" s="18">
        <v>0.91759999999999997</v>
      </c>
      <c r="K139" s="18">
        <v>2.3365999999999998</v>
      </c>
      <c r="L139" s="18">
        <v>0.52649999999999997</v>
      </c>
    </row>
    <row r="140" spans="1:12">
      <c r="A140" t="s">
        <v>528</v>
      </c>
      <c r="B140">
        <v>0.5</v>
      </c>
      <c r="C140">
        <v>64</v>
      </c>
      <c r="D140" s="1" t="b">
        <v>0</v>
      </c>
      <c r="E140" t="s">
        <v>547</v>
      </c>
      <c r="F140" t="s">
        <v>531</v>
      </c>
      <c r="G140" t="s">
        <v>5</v>
      </c>
      <c r="H140" s="11">
        <v>51</v>
      </c>
      <c r="I140" s="18">
        <v>0.40029999999999999</v>
      </c>
      <c r="J140" s="18">
        <v>0.88849999999999996</v>
      </c>
      <c r="K140" s="18">
        <v>2.3140000000000001</v>
      </c>
      <c r="L140" s="18">
        <v>0.52649999999999997</v>
      </c>
    </row>
    <row r="141" spans="1:12">
      <c r="A141" t="s">
        <v>528</v>
      </c>
      <c r="B141">
        <v>0.5</v>
      </c>
      <c r="C141">
        <v>64</v>
      </c>
      <c r="D141" s="1" t="b">
        <v>0</v>
      </c>
      <c r="E141" t="s">
        <v>548</v>
      </c>
      <c r="F141" t="s">
        <v>532</v>
      </c>
      <c r="G141" t="s">
        <v>0</v>
      </c>
      <c r="H141" s="11">
        <v>48</v>
      </c>
      <c r="I141" s="18">
        <v>1.1737</v>
      </c>
      <c r="J141" s="18">
        <v>0.65290000000000004</v>
      </c>
      <c r="K141" s="18">
        <v>1.8018000000000001</v>
      </c>
      <c r="L141" s="18">
        <v>0.52600000000000002</v>
      </c>
    </row>
    <row r="142" spans="1:12">
      <c r="A142" t="s">
        <v>528</v>
      </c>
      <c r="B142">
        <v>0.5</v>
      </c>
      <c r="C142">
        <v>256</v>
      </c>
      <c r="D142" s="1" t="b">
        <v>0</v>
      </c>
      <c r="E142" t="s">
        <v>547</v>
      </c>
      <c r="F142" t="s">
        <v>532</v>
      </c>
      <c r="G142" t="s">
        <v>3</v>
      </c>
      <c r="H142" s="11">
        <v>173</v>
      </c>
      <c r="I142" s="18">
        <v>1.2394000000000001</v>
      </c>
      <c r="J142" s="18">
        <v>0.63300000000000001</v>
      </c>
      <c r="K142" s="18">
        <v>1.7694000000000001</v>
      </c>
      <c r="L142" s="18">
        <v>0.52600000000000002</v>
      </c>
    </row>
    <row r="143" spans="1:12">
      <c r="A143" t="s">
        <v>528</v>
      </c>
      <c r="B143">
        <v>0.1</v>
      </c>
      <c r="C143">
        <v>64</v>
      </c>
      <c r="D143" s="1" t="b">
        <v>0</v>
      </c>
      <c r="E143" t="s">
        <v>548</v>
      </c>
      <c r="F143" t="s">
        <v>531</v>
      </c>
      <c r="G143" t="s">
        <v>1</v>
      </c>
      <c r="H143" s="11">
        <v>50</v>
      </c>
      <c r="I143" s="18">
        <v>0.28239999999999998</v>
      </c>
      <c r="J143" s="18">
        <v>0.92390000000000005</v>
      </c>
      <c r="K143" s="18">
        <v>2.3367</v>
      </c>
      <c r="L143" s="18">
        <v>0.52549999999999997</v>
      </c>
    </row>
    <row r="144" spans="1:12">
      <c r="A144" t="s">
        <v>528</v>
      </c>
      <c r="B144">
        <v>0.3</v>
      </c>
      <c r="C144">
        <v>128</v>
      </c>
      <c r="D144" s="1" t="b">
        <v>0</v>
      </c>
      <c r="E144" t="s">
        <v>548</v>
      </c>
      <c r="F144" t="s">
        <v>531</v>
      </c>
      <c r="G144" t="s">
        <v>1</v>
      </c>
      <c r="H144" s="11">
        <v>74</v>
      </c>
      <c r="I144" s="18">
        <v>0.34029999999999999</v>
      </c>
      <c r="J144" s="18">
        <v>0.90139999999999998</v>
      </c>
      <c r="K144" s="18">
        <v>2.1183999999999998</v>
      </c>
      <c r="L144" s="18">
        <v>0.52500000000000002</v>
      </c>
    </row>
    <row r="145" spans="1:12">
      <c r="A145" t="s">
        <v>528</v>
      </c>
      <c r="B145">
        <v>0.3</v>
      </c>
      <c r="C145">
        <v>128</v>
      </c>
      <c r="D145" s="1" t="b">
        <v>0</v>
      </c>
      <c r="E145" t="s">
        <v>547</v>
      </c>
      <c r="F145" t="s">
        <v>532</v>
      </c>
      <c r="G145" t="s">
        <v>0</v>
      </c>
      <c r="H145" s="11">
        <v>70</v>
      </c>
      <c r="I145" s="18">
        <v>1.4016999999999999</v>
      </c>
      <c r="J145" s="18">
        <v>0.56540000000000001</v>
      </c>
      <c r="K145" s="18">
        <v>1.7690999999999999</v>
      </c>
      <c r="L145" s="18">
        <v>0.52500000000000002</v>
      </c>
    </row>
    <row r="146" spans="1:12">
      <c r="A146" t="s">
        <v>528</v>
      </c>
      <c r="B146">
        <v>0.3</v>
      </c>
      <c r="C146">
        <v>128</v>
      </c>
      <c r="D146" s="1" t="b">
        <v>0</v>
      </c>
      <c r="E146" t="s">
        <v>548</v>
      </c>
      <c r="F146" t="s">
        <v>531</v>
      </c>
      <c r="G146" t="s">
        <v>0</v>
      </c>
      <c r="H146" s="11">
        <v>74</v>
      </c>
      <c r="I146" s="18">
        <v>0.37480000000000002</v>
      </c>
      <c r="J146" s="18">
        <v>0.89390000000000003</v>
      </c>
      <c r="K146" s="18">
        <v>2.0472999999999999</v>
      </c>
      <c r="L146" s="18">
        <v>0.52449999999999997</v>
      </c>
    </row>
    <row r="147" spans="1:12">
      <c r="A147" t="s">
        <v>528</v>
      </c>
      <c r="B147">
        <v>0.1</v>
      </c>
      <c r="C147">
        <v>64</v>
      </c>
      <c r="D147" s="1" t="b">
        <v>0</v>
      </c>
      <c r="E147" t="s">
        <v>547</v>
      </c>
      <c r="F147" t="s">
        <v>531</v>
      </c>
      <c r="G147" t="s">
        <v>2</v>
      </c>
      <c r="H147" s="11">
        <v>42</v>
      </c>
      <c r="I147" s="18">
        <v>0.29199999999999998</v>
      </c>
      <c r="J147" s="18">
        <v>0.91930000000000001</v>
      </c>
      <c r="K147" s="18">
        <v>2.2812000000000001</v>
      </c>
      <c r="L147" s="18">
        <v>0.52449999999999997</v>
      </c>
    </row>
    <row r="148" spans="1:12">
      <c r="A148" t="s">
        <v>528</v>
      </c>
      <c r="B148">
        <v>0.3</v>
      </c>
      <c r="C148">
        <v>128</v>
      </c>
      <c r="D148" s="1" t="b">
        <v>0</v>
      </c>
      <c r="E148" t="s">
        <v>547</v>
      </c>
      <c r="F148" t="s">
        <v>531</v>
      </c>
      <c r="G148" t="s">
        <v>1</v>
      </c>
      <c r="H148" s="11">
        <v>75</v>
      </c>
      <c r="I148" s="18">
        <v>0.44819999999999999</v>
      </c>
      <c r="J148" s="18">
        <v>0.87309999999999999</v>
      </c>
      <c r="K148" s="18">
        <v>2.0556000000000001</v>
      </c>
      <c r="L148" s="18">
        <v>0.52400000000000002</v>
      </c>
    </row>
    <row r="149" spans="1:12">
      <c r="A149" t="s">
        <v>528</v>
      </c>
      <c r="B149">
        <v>0.5</v>
      </c>
      <c r="C149">
        <v>64</v>
      </c>
      <c r="D149" s="1" t="b">
        <v>0</v>
      </c>
      <c r="E149" t="s">
        <v>547</v>
      </c>
      <c r="F149" t="s">
        <v>531</v>
      </c>
      <c r="G149" t="s">
        <v>1</v>
      </c>
      <c r="H149" s="11">
        <v>52</v>
      </c>
      <c r="I149" s="18">
        <v>0.60960000000000003</v>
      </c>
      <c r="J149" s="18">
        <v>0.8327</v>
      </c>
      <c r="K149" s="18">
        <v>2.1063000000000001</v>
      </c>
      <c r="L149" s="18">
        <v>0.52400000000000002</v>
      </c>
    </row>
    <row r="150" spans="1:12">
      <c r="A150" t="s">
        <v>528</v>
      </c>
      <c r="B150">
        <v>0.3</v>
      </c>
      <c r="C150">
        <v>256</v>
      </c>
      <c r="D150" s="1" t="b">
        <v>0</v>
      </c>
      <c r="E150" t="s">
        <v>547</v>
      </c>
      <c r="F150" t="s">
        <v>532</v>
      </c>
      <c r="G150" t="s">
        <v>1</v>
      </c>
      <c r="H150" s="11">
        <v>149</v>
      </c>
      <c r="I150" s="18">
        <v>1.3005</v>
      </c>
      <c r="J150" s="18">
        <v>0.60909999999999997</v>
      </c>
      <c r="K150" s="18">
        <v>1.7415</v>
      </c>
      <c r="L150" s="18">
        <v>0.52400000000000002</v>
      </c>
    </row>
    <row r="151" spans="1:12">
      <c r="A151" t="s">
        <v>528</v>
      </c>
      <c r="B151">
        <v>0.3</v>
      </c>
      <c r="C151">
        <v>64</v>
      </c>
      <c r="D151" s="1" t="b">
        <v>0</v>
      </c>
      <c r="E151" t="s">
        <v>548</v>
      </c>
      <c r="F151" t="s">
        <v>531</v>
      </c>
      <c r="G151" t="s">
        <v>0</v>
      </c>
      <c r="H151" s="11">
        <v>42</v>
      </c>
      <c r="I151" s="18">
        <v>0.37509999999999999</v>
      </c>
      <c r="J151" s="18">
        <v>0.89739999999999998</v>
      </c>
      <c r="K151" s="18">
        <v>2.1421000000000001</v>
      </c>
      <c r="L151" s="18">
        <v>0.52349999999999997</v>
      </c>
    </row>
    <row r="152" spans="1:12">
      <c r="A152" t="s">
        <v>528</v>
      </c>
      <c r="B152">
        <v>0.1</v>
      </c>
      <c r="C152">
        <v>128</v>
      </c>
      <c r="D152" s="1" t="b">
        <v>0</v>
      </c>
      <c r="E152" t="s">
        <v>548</v>
      </c>
      <c r="F152" t="s">
        <v>531</v>
      </c>
      <c r="G152" t="s">
        <v>4</v>
      </c>
      <c r="H152" s="11">
        <v>73</v>
      </c>
      <c r="I152" s="18">
        <v>0.2019</v>
      </c>
      <c r="J152" s="18">
        <v>0.94499999999999995</v>
      </c>
      <c r="K152" s="18">
        <v>2.4605999999999999</v>
      </c>
      <c r="L152" s="18">
        <v>0.52300000000000002</v>
      </c>
    </row>
    <row r="153" spans="1:12">
      <c r="A153" t="s">
        <v>528</v>
      </c>
      <c r="B153">
        <v>0.5</v>
      </c>
      <c r="C153">
        <v>64</v>
      </c>
      <c r="D153" s="1" t="b">
        <v>0</v>
      </c>
      <c r="E153" t="s">
        <v>547</v>
      </c>
      <c r="F153" t="s">
        <v>531</v>
      </c>
      <c r="G153" t="s">
        <v>4</v>
      </c>
      <c r="H153" s="11">
        <v>51</v>
      </c>
      <c r="I153" s="18">
        <v>0.43640000000000001</v>
      </c>
      <c r="J153" s="18">
        <v>0.87709999999999999</v>
      </c>
      <c r="K153" s="18">
        <v>2.3157999999999999</v>
      </c>
      <c r="L153" s="18">
        <v>0.52300000000000002</v>
      </c>
    </row>
    <row r="154" spans="1:12">
      <c r="A154" t="s">
        <v>528</v>
      </c>
      <c r="B154">
        <v>0.3</v>
      </c>
      <c r="C154">
        <v>128</v>
      </c>
      <c r="D154" s="1" t="b">
        <v>0</v>
      </c>
      <c r="E154" t="s">
        <v>547</v>
      </c>
      <c r="F154" t="s">
        <v>531</v>
      </c>
      <c r="G154" t="s">
        <v>5</v>
      </c>
      <c r="H154" s="11">
        <v>72</v>
      </c>
      <c r="I154" s="18">
        <v>0.2843</v>
      </c>
      <c r="J154" s="18">
        <v>0.91710000000000003</v>
      </c>
      <c r="K154" s="18">
        <v>2.2926000000000002</v>
      </c>
      <c r="L154" s="18">
        <v>0.52300000000000002</v>
      </c>
    </row>
    <row r="155" spans="1:12">
      <c r="A155" t="s">
        <v>528</v>
      </c>
      <c r="B155">
        <v>0.1</v>
      </c>
      <c r="C155">
        <v>128</v>
      </c>
      <c r="D155" s="1" t="b">
        <v>0</v>
      </c>
      <c r="E155" t="s">
        <v>547</v>
      </c>
      <c r="F155" t="s">
        <v>532</v>
      </c>
      <c r="G155" t="s">
        <v>5</v>
      </c>
      <c r="H155" s="11">
        <v>73</v>
      </c>
      <c r="I155" s="18">
        <v>0.86870000000000003</v>
      </c>
      <c r="J155" s="18">
        <v>0.74809999999999999</v>
      </c>
      <c r="K155" s="18">
        <v>1.8207</v>
      </c>
      <c r="L155" s="18">
        <v>0.52300000000000002</v>
      </c>
    </row>
    <row r="156" spans="1:12">
      <c r="A156" t="s">
        <v>528</v>
      </c>
      <c r="B156">
        <v>0.5</v>
      </c>
      <c r="C156">
        <v>256</v>
      </c>
      <c r="D156" s="1" t="b">
        <v>0</v>
      </c>
      <c r="E156" t="s">
        <v>547</v>
      </c>
      <c r="F156" t="s">
        <v>532</v>
      </c>
      <c r="G156" t="s">
        <v>0</v>
      </c>
      <c r="H156" s="11">
        <v>172</v>
      </c>
      <c r="I156" s="18">
        <v>1.4699</v>
      </c>
      <c r="J156" s="18">
        <v>0.55649999999999999</v>
      </c>
      <c r="K156" s="18">
        <v>1.7351000000000001</v>
      </c>
      <c r="L156" s="18">
        <v>0.52300000000000002</v>
      </c>
    </row>
    <row r="157" spans="1:12">
      <c r="A157" t="s">
        <v>528</v>
      </c>
      <c r="B157">
        <v>0.5</v>
      </c>
      <c r="C157">
        <v>128</v>
      </c>
      <c r="D157" s="1" t="b">
        <v>0</v>
      </c>
      <c r="E157" t="s">
        <v>548</v>
      </c>
      <c r="F157" t="s">
        <v>531</v>
      </c>
      <c r="G157" t="s">
        <v>1</v>
      </c>
      <c r="H157" s="11">
        <v>74</v>
      </c>
      <c r="I157" s="18">
        <v>0.4491</v>
      </c>
      <c r="J157" s="18">
        <v>0.86890000000000001</v>
      </c>
      <c r="K157" s="18">
        <v>2.0800999999999998</v>
      </c>
      <c r="L157" s="18">
        <v>0.52249999999999996</v>
      </c>
    </row>
    <row r="158" spans="1:12">
      <c r="A158" t="s">
        <v>528</v>
      </c>
      <c r="B158">
        <v>0.3</v>
      </c>
      <c r="C158">
        <v>64</v>
      </c>
      <c r="D158" s="1" t="b">
        <v>0</v>
      </c>
      <c r="E158" t="s">
        <v>547</v>
      </c>
      <c r="F158" t="s">
        <v>531</v>
      </c>
      <c r="G158" t="s">
        <v>4</v>
      </c>
      <c r="H158" s="11">
        <v>42</v>
      </c>
      <c r="I158" s="18">
        <v>0.31519999999999998</v>
      </c>
      <c r="J158" s="18">
        <v>0.91610000000000003</v>
      </c>
      <c r="K158" s="18">
        <v>2.3563000000000001</v>
      </c>
      <c r="L158" s="18">
        <v>0.52249999999999996</v>
      </c>
    </row>
    <row r="159" spans="1:12">
      <c r="A159" t="s">
        <v>528</v>
      </c>
      <c r="B159">
        <v>0.3</v>
      </c>
      <c r="C159">
        <v>128</v>
      </c>
      <c r="D159" s="1" t="b">
        <v>0</v>
      </c>
      <c r="E159" t="s">
        <v>548</v>
      </c>
      <c r="F159" t="s">
        <v>531</v>
      </c>
      <c r="G159" t="s">
        <v>2</v>
      </c>
      <c r="H159" s="11">
        <v>74</v>
      </c>
      <c r="I159" s="18">
        <v>0.29139999999999999</v>
      </c>
      <c r="J159" s="18">
        <v>0.91690000000000005</v>
      </c>
      <c r="K159" s="18">
        <v>2.2427999999999999</v>
      </c>
      <c r="L159" s="18">
        <v>0.52200000000000002</v>
      </c>
    </row>
    <row r="160" spans="1:12">
      <c r="A160" t="s">
        <v>528</v>
      </c>
      <c r="B160">
        <v>0.3</v>
      </c>
      <c r="C160">
        <v>64</v>
      </c>
      <c r="D160" s="1" t="b">
        <v>0</v>
      </c>
      <c r="E160" t="s">
        <v>547</v>
      </c>
      <c r="F160" t="s">
        <v>531</v>
      </c>
      <c r="G160" t="s">
        <v>3</v>
      </c>
      <c r="H160" s="11">
        <v>42</v>
      </c>
      <c r="I160" s="18">
        <v>0.34799999999999998</v>
      </c>
      <c r="J160" s="18">
        <v>0.90610000000000002</v>
      </c>
      <c r="K160" s="18">
        <v>2.2393000000000001</v>
      </c>
      <c r="L160" s="18">
        <v>0.52200000000000002</v>
      </c>
    </row>
    <row r="161" spans="1:12">
      <c r="A161" t="s">
        <v>528</v>
      </c>
      <c r="B161">
        <v>0.5</v>
      </c>
      <c r="C161">
        <v>256</v>
      </c>
      <c r="D161" s="1" t="b">
        <v>0</v>
      </c>
      <c r="E161" t="s">
        <v>547</v>
      </c>
      <c r="F161" t="s">
        <v>531</v>
      </c>
      <c r="G161" t="s">
        <v>0</v>
      </c>
      <c r="H161" s="11">
        <v>170</v>
      </c>
      <c r="I161" s="18">
        <v>0.62980000000000003</v>
      </c>
      <c r="J161" s="18">
        <v>0.81169999999999998</v>
      </c>
      <c r="K161" s="18">
        <v>1.9017999999999999</v>
      </c>
      <c r="L161" s="18">
        <v>0.52149999999999996</v>
      </c>
    </row>
    <row r="162" spans="1:12">
      <c r="A162" t="s">
        <v>528</v>
      </c>
      <c r="B162">
        <v>0.5</v>
      </c>
      <c r="C162">
        <v>256</v>
      </c>
      <c r="D162" s="1" t="b">
        <v>0</v>
      </c>
      <c r="E162" t="s">
        <v>548</v>
      </c>
      <c r="F162" t="s">
        <v>531</v>
      </c>
      <c r="G162" t="s">
        <v>1</v>
      </c>
      <c r="H162" s="11">
        <v>159</v>
      </c>
      <c r="I162" s="18">
        <v>0.4597</v>
      </c>
      <c r="J162" s="18">
        <v>0.86609999999999998</v>
      </c>
      <c r="K162" s="18">
        <v>1.9945999999999999</v>
      </c>
      <c r="L162" s="18">
        <v>0.52149999999999996</v>
      </c>
    </row>
    <row r="163" spans="1:12">
      <c r="A163" t="s">
        <v>528</v>
      </c>
      <c r="B163">
        <v>0.5</v>
      </c>
      <c r="C163">
        <v>128</v>
      </c>
      <c r="D163" s="1" t="b">
        <v>0</v>
      </c>
      <c r="E163" t="s">
        <v>548</v>
      </c>
      <c r="F163" t="s">
        <v>531</v>
      </c>
      <c r="G163" t="s">
        <v>2</v>
      </c>
      <c r="H163" s="11">
        <v>74</v>
      </c>
      <c r="I163" s="18">
        <v>0.4002</v>
      </c>
      <c r="J163" s="18">
        <v>0.88419999999999999</v>
      </c>
      <c r="K163" s="18">
        <v>2.0727000000000002</v>
      </c>
      <c r="L163" s="18">
        <v>0.52149999999999996</v>
      </c>
    </row>
    <row r="164" spans="1:12">
      <c r="A164" t="s">
        <v>528</v>
      </c>
      <c r="B164">
        <v>0.3</v>
      </c>
      <c r="C164">
        <v>128</v>
      </c>
      <c r="D164" s="1" t="b">
        <v>0</v>
      </c>
      <c r="E164" t="s">
        <v>547</v>
      </c>
      <c r="F164" t="s">
        <v>532</v>
      </c>
      <c r="G164" t="s">
        <v>1</v>
      </c>
      <c r="H164" s="11">
        <v>70</v>
      </c>
      <c r="I164" s="18">
        <v>1.302</v>
      </c>
      <c r="J164" s="18">
        <v>0.61850000000000005</v>
      </c>
      <c r="K164" s="18">
        <v>1.7652000000000001</v>
      </c>
      <c r="L164" s="18">
        <v>0.52149999999999996</v>
      </c>
    </row>
    <row r="165" spans="1:12">
      <c r="A165" t="s">
        <v>528</v>
      </c>
      <c r="B165">
        <v>0.1</v>
      </c>
      <c r="C165">
        <v>256</v>
      </c>
      <c r="D165" s="1" t="b">
        <v>0</v>
      </c>
      <c r="E165" t="s">
        <v>548</v>
      </c>
      <c r="F165" t="s">
        <v>532</v>
      </c>
      <c r="G165" t="s">
        <v>0</v>
      </c>
      <c r="H165" s="11">
        <v>141</v>
      </c>
      <c r="I165" s="18">
        <v>1.0416000000000001</v>
      </c>
      <c r="J165" s="18">
        <v>0.68769999999999998</v>
      </c>
      <c r="K165" s="18">
        <v>1.7025999999999999</v>
      </c>
      <c r="L165" s="18">
        <v>0.52100000000000002</v>
      </c>
    </row>
    <row r="166" spans="1:12">
      <c r="A166" t="s">
        <v>528</v>
      </c>
      <c r="B166">
        <v>0.1</v>
      </c>
      <c r="C166">
        <v>64</v>
      </c>
      <c r="D166" s="1" t="b">
        <v>0</v>
      </c>
      <c r="E166" t="s">
        <v>547</v>
      </c>
      <c r="F166" t="s">
        <v>531</v>
      </c>
      <c r="G166" t="s">
        <v>1</v>
      </c>
      <c r="H166" s="11">
        <v>42</v>
      </c>
      <c r="I166" s="18">
        <v>0.36270000000000002</v>
      </c>
      <c r="J166" s="18">
        <v>0.90349999999999997</v>
      </c>
      <c r="K166" s="18">
        <v>2.2126000000000001</v>
      </c>
      <c r="L166" s="18">
        <v>0.52100000000000002</v>
      </c>
    </row>
    <row r="167" spans="1:12">
      <c r="A167" t="s">
        <v>528</v>
      </c>
      <c r="B167">
        <v>0.3</v>
      </c>
      <c r="C167">
        <v>128</v>
      </c>
      <c r="D167" s="1" t="b">
        <v>0</v>
      </c>
      <c r="E167" t="s">
        <v>547</v>
      </c>
      <c r="F167" t="s">
        <v>531</v>
      </c>
      <c r="G167" t="s">
        <v>3</v>
      </c>
      <c r="H167" s="11">
        <v>74</v>
      </c>
      <c r="I167" s="18">
        <v>0.34210000000000002</v>
      </c>
      <c r="J167" s="18">
        <v>0.90339999999999998</v>
      </c>
      <c r="K167" s="18">
        <v>2.2010999999999998</v>
      </c>
      <c r="L167" s="18">
        <v>0.52100000000000002</v>
      </c>
    </row>
    <row r="168" spans="1:12">
      <c r="A168" t="s">
        <v>528</v>
      </c>
      <c r="B168">
        <v>0.1</v>
      </c>
      <c r="C168">
        <v>256</v>
      </c>
      <c r="D168" s="1" t="b">
        <v>0</v>
      </c>
      <c r="E168" t="s">
        <v>547</v>
      </c>
      <c r="F168" t="s">
        <v>531</v>
      </c>
      <c r="G168" t="s">
        <v>5</v>
      </c>
      <c r="H168" s="11">
        <v>165</v>
      </c>
      <c r="I168" s="18">
        <v>0.2069</v>
      </c>
      <c r="J168" s="18">
        <v>0.94099999999999995</v>
      </c>
      <c r="K168" s="18">
        <v>2.3220000000000001</v>
      </c>
      <c r="L168" s="18">
        <v>0.52049999999999996</v>
      </c>
    </row>
    <row r="169" spans="1:12">
      <c r="A169" t="s">
        <v>528</v>
      </c>
      <c r="B169">
        <v>0.3</v>
      </c>
      <c r="C169">
        <v>64</v>
      </c>
      <c r="D169" s="1" t="b">
        <v>0</v>
      </c>
      <c r="E169" t="s">
        <v>548</v>
      </c>
      <c r="F169" t="s">
        <v>531</v>
      </c>
      <c r="G169" t="s">
        <v>3</v>
      </c>
      <c r="H169" s="11">
        <v>42</v>
      </c>
      <c r="I169" s="18">
        <v>0.28249999999999997</v>
      </c>
      <c r="J169" s="18">
        <v>0.92330000000000001</v>
      </c>
      <c r="K169" s="18">
        <v>2.3155999999999999</v>
      </c>
      <c r="L169" s="18">
        <v>0.52</v>
      </c>
    </row>
    <row r="170" spans="1:12">
      <c r="A170" t="s">
        <v>528</v>
      </c>
      <c r="B170">
        <v>0.3</v>
      </c>
      <c r="C170">
        <v>256</v>
      </c>
      <c r="D170" s="1" t="b">
        <v>0</v>
      </c>
      <c r="E170" t="s">
        <v>547</v>
      </c>
      <c r="F170" t="s">
        <v>531</v>
      </c>
      <c r="G170" t="s">
        <v>4</v>
      </c>
      <c r="H170" s="11">
        <v>142</v>
      </c>
      <c r="I170" s="18">
        <v>0.27900000000000003</v>
      </c>
      <c r="J170" s="18">
        <v>0.92120000000000002</v>
      </c>
      <c r="K170" s="18">
        <v>2.2178</v>
      </c>
      <c r="L170" s="18">
        <v>0.52</v>
      </c>
    </row>
    <row r="171" spans="1:12">
      <c r="A171" t="s">
        <v>528</v>
      </c>
      <c r="B171">
        <v>0.1</v>
      </c>
      <c r="C171">
        <v>128</v>
      </c>
      <c r="D171" s="1" t="b">
        <v>0</v>
      </c>
      <c r="E171" t="s">
        <v>547</v>
      </c>
      <c r="F171" t="s">
        <v>532</v>
      </c>
      <c r="G171" t="s">
        <v>1</v>
      </c>
      <c r="H171" s="11">
        <v>73</v>
      </c>
      <c r="I171" s="18">
        <v>1.1686000000000001</v>
      </c>
      <c r="J171" s="18">
        <v>0.66080000000000005</v>
      </c>
      <c r="K171" s="18">
        <v>1.7612000000000001</v>
      </c>
      <c r="L171" s="18">
        <v>0.51949999999999996</v>
      </c>
    </row>
    <row r="172" spans="1:12">
      <c r="A172" t="s">
        <v>528</v>
      </c>
      <c r="B172">
        <v>0.5</v>
      </c>
      <c r="C172">
        <v>64</v>
      </c>
      <c r="D172" s="1" t="b">
        <v>0</v>
      </c>
      <c r="E172" t="s">
        <v>547</v>
      </c>
      <c r="F172" t="s">
        <v>531</v>
      </c>
      <c r="G172" t="s">
        <v>0</v>
      </c>
      <c r="H172" s="11">
        <v>50</v>
      </c>
      <c r="I172" s="18">
        <v>0.70079999999999998</v>
      </c>
      <c r="J172" s="18">
        <v>0.80569999999999997</v>
      </c>
      <c r="K172" s="18">
        <v>2.0188000000000001</v>
      </c>
      <c r="L172" s="18">
        <v>0.51949999999999996</v>
      </c>
    </row>
    <row r="173" spans="1:12">
      <c r="A173" t="s">
        <v>528</v>
      </c>
      <c r="B173">
        <v>0.5</v>
      </c>
      <c r="C173">
        <v>128</v>
      </c>
      <c r="D173" s="1" t="b">
        <v>0</v>
      </c>
      <c r="E173" t="s">
        <v>548</v>
      </c>
      <c r="F173" t="s">
        <v>531</v>
      </c>
      <c r="G173" t="s">
        <v>5</v>
      </c>
      <c r="H173" s="11">
        <v>74</v>
      </c>
      <c r="I173" s="18">
        <v>0.2954</v>
      </c>
      <c r="J173" s="18">
        <v>0.91539999999999999</v>
      </c>
      <c r="K173" s="18">
        <v>2.1894</v>
      </c>
      <c r="L173" s="18">
        <v>0.51949999999999996</v>
      </c>
    </row>
    <row r="174" spans="1:12">
      <c r="A174" t="s">
        <v>528</v>
      </c>
      <c r="B174">
        <v>0.3</v>
      </c>
      <c r="C174">
        <v>64</v>
      </c>
      <c r="D174" s="1" t="b">
        <v>0</v>
      </c>
      <c r="E174" t="s">
        <v>547</v>
      </c>
      <c r="F174" t="s">
        <v>532</v>
      </c>
      <c r="G174" t="s">
        <v>1</v>
      </c>
      <c r="H174" s="11">
        <v>41</v>
      </c>
      <c r="I174" s="18">
        <v>1.4161999999999999</v>
      </c>
      <c r="J174" s="18">
        <v>0.56740000000000002</v>
      </c>
      <c r="K174" s="18">
        <v>1.8145</v>
      </c>
      <c r="L174" s="18">
        <v>0.51900000000000002</v>
      </c>
    </row>
    <row r="175" spans="1:12">
      <c r="A175" t="s">
        <v>528</v>
      </c>
      <c r="B175">
        <v>0.3</v>
      </c>
      <c r="C175">
        <v>128</v>
      </c>
      <c r="D175" s="1" t="b">
        <v>0</v>
      </c>
      <c r="E175" t="s">
        <v>547</v>
      </c>
      <c r="F175" t="s">
        <v>531</v>
      </c>
      <c r="G175" t="s">
        <v>0</v>
      </c>
      <c r="H175" s="11">
        <v>75</v>
      </c>
      <c r="I175" s="18">
        <v>0.51600000000000001</v>
      </c>
      <c r="J175" s="18">
        <v>0.85450000000000004</v>
      </c>
      <c r="K175" s="18">
        <v>2.0274000000000001</v>
      </c>
      <c r="L175" s="18">
        <v>0.51900000000000002</v>
      </c>
    </row>
    <row r="176" spans="1:12">
      <c r="A176" t="s">
        <v>528</v>
      </c>
      <c r="B176">
        <v>0.1</v>
      </c>
      <c r="C176">
        <v>256</v>
      </c>
      <c r="D176" s="1" t="b">
        <v>0</v>
      </c>
      <c r="E176" t="s">
        <v>547</v>
      </c>
      <c r="F176" t="s">
        <v>531</v>
      </c>
      <c r="G176" t="s">
        <v>4</v>
      </c>
      <c r="H176" s="11">
        <v>165</v>
      </c>
      <c r="I176" s="18">
        <v>0.23810000000000001</v>
      </c>
      <c r="J176" s="18">
        <v>0.93310000000000004</v>
      </c>
      <c r="K176" s="18">
        <v>2.2755000000000001</v>
      </c>
      <c r="L176" s="18">
        <v>0.51849999999999996</v>
      </c>
    </row>
    <row r="177" spans="1:12">
      <c r="A177" t="s">
        <v>528</v>
      </c>
      <c r="B177">
        <v>0.5</v>
      </c>
      <c r="C177">
        <v>64</v>
      </c>
      <c r="D177" s="1" t="b">
        <v>0</v>
      </c>
      <c r="E177" t="s">
        <v>548</v>
      </c>
      <c r="F177" t="s">
        <v>531</v>
      </c>
      <c r="G177" t="s">
        <v>5</v>
      </c>
      <c r="H177" s="11">
        <v>50</v>
      </c>
      <c r="I177" s="18">
        <v>0.29049999999999998</v>
      </c>
      <c r="J177" s="18">
        <v>0.91949999999999998</v>
      </c>
      <c r="K177" s="18">
        <v>2.3374999999999999</v>
      </c>
      <c r="L177" s="18">
        <v>0.51800000000000002</v>
      </c>
    </row>
    <row r="178" spans="1:12">
      <c r="A178" t="s">
        <v>528</v>
      </c>
      <c r="B178">
        <v>0.1</v>
      </c>
      <c r="C178">
        <v>64</v>
      </c>
      <c r="D178" s="1" t="b">
        <v>0</v>
      </c>
      <c r="E178" t="s">
        <v>548</v>
      </c>
      <c r="F178" t="s">
        <v>531</v>
      </c>
      <c r="G178" t="s">
        <v>2</v>
      </c>
      <c r="H178" s="11">
        <v>49</v>
      </c>
      <c r="I178" s="18">
        <v>0.2641</v>
      </c>
      <c r="J178" s="18">
        <v>0.93030000000000002</v>
      </c>
      <c r="K178" s="18">
        <v>2.3824999999999998</v>
      </c>
      <c r="L178" s="18">
        <v>0.51749999999999996</v>
      </c>
    </row>
    <row r="179" spans="1:12">
      <c r="A179" t="s">
        <v>528</v>
      </c>
      <c r="B179">
        <v>0.5</v>
      </c>
      <c r="C179">
        <v>64</v>
      </c>
      <c r="D179" s="1" t="b">
        <v>0</v>
      </c>
      <c r="E179" t="s">
        <v>547</v>
      </c>
      <c r="F179" t="s">
        <v>532</v>
      </c>
      <c r="G179" t="s">
        <v>3</v>
      </c>
      <c r="H179" s="11">
        <v>42</v>
      </c>
      <c r="I179" s="18">
        <v>1.3592</v>
      </c>
      <c r="J179" s="18">
        <v>0.58840000000000003</v>
      </c>
      <c r="K179" s="18">
        <v>1.7844</v>
      </c>
      <c r="L179" s="18">
        <v>0.51749999999999996</v>
      </c>
    </row>
    <row r="180" spans="1:12">
      <c r="A180" t="s">
        <v>528</v>
      </c>
      <c r="B180">
        <v>0.5</v>
      </c>
      <c r="C180">
        <v>128</v>
      </c>
      <c r="D180" s="1" t="b">
        <v>0</v>
      </c>
      <c r="E180" t="s">
        <v>547</v>
      </c>
      <c r="F180" t="s">
        <v>532</v>
      </c>
      <c r="G180" t="s">
        <v>1</v>
      </c>
      <c r="H180" s="11">
        <v>75</v>
      </c>
      <c r="I180" s="18">
        <v>1.4133</v>
      </c>
      <c r="J180" s="18">
        <v>0.57010000000000005</v>
      </c>
      <c r="K180" s="18">
        <v>1.7689999999999999</v>
      </c>
      <c r="L180" s="18">
        <v>0.51749999999999996</v>
      </c>
    </row>
    <row r="181" spans="1:12">
      <c r="A181" t="s">
        <v>528</v>
      </c>
      <c r="B181">
        <v>0.3</v>
      </c>
      <c r="C181">
        <v>64</v>
      </c>
      <c r="D181" s="1" t="b">
        <v>0</v>
      </c>
      <c r="E181" t="s">
        <v>548</v>
      </c>
      <c r="F181" t="s">
        <v>532</v>
      </c>
      <c r="G181" t="s">
        <v>0</v>
      </c>
      <c r="H181" s="11">
        <v>41</v>
      </c>
      <c r="I181" s="18">
        <v>1.0705</v>
      </c>
      <c r="J181" s="18">
        <v>0.69189999999999996</v>
      </c>
      <c r="K181" s="18">
        <v>1.8419000000000001</v>
      </c>
      <c r="L181" s="18">
        <v>0.51700000000000002</v>
      </c>
    </row>
    <row r="182" spans="1:12">
      <c r="A182" t="s">
        <v>528</v>
      </c>
      <c r="B182">
        <v>0.5</v>
      </c>
      <c r="C182">
        <v>128</v>
      </c>
      <c r="D182" s="1" t="b">
        <v>0</v>
      </c>
      <c r="E182" t="s">
        <v>548</v>
      </c>
      <c r="F182" t="s">
        <v>531</v>
      </c>
      <c r="G182" t="s">
        <v>0</v>
      </c>
      <c r="H182" s="11">
        <v>75</v>
      </c>
      <c r="I182" s="18">
        <v>0.49</v>
      </c>
      <c r="J182" s="18">
        <v>0.85780000000000001</v>
      </c>
      <c r="K182" s="18">
        <v>1.9907999999999999</v>
      </c>
      <c r="L182" s="18">
        <v>0.51700000000000002</v>
      </c>
    </row>
    <row r="183" spans="1:12">
      <c r="A183" t="s">
        <v>528</v>
      </c>
      <c r="B183">
        <v>0.1</v>
      </c>
      <c r="C183">
        <v>64</v>
      </c>
      <c r="D183" s="1" t="b">
        <v>0</v>
      </c>
      <c r="E183" t="s">
        <v>547</v>
      </c>
      <c r="F183" t="s">
        <v>532</v>
      </c>
      <c r="G183" t="s">
        <v>1</v>
      </c>
      <c r="H183" s="11">
        <v>42</v>
      </c>
      <c r="I183" s="18">
        <v>1.2597</v>
      </c>
      <c r="J183" s="18">
        <v>0.62790000000000001</v>
      </c>
      <c r="K183" s="18">
        <v>1.8278000000000001</v>
      </c>
      <c r="L183" s="18">
        <v>0.51649999999999996</v>
      </c>
    </row>
    <row r="184" spans="1:12">
      <c r="A184" t="s">
        <v>528</v>
      </c>
      <c r="B184">
        <v>0.1</v>
      </c>
      <c r="C184">
        <v>64</v>
      </c>
      <c r="D184" s="1" t="b">
        <v>0</v>
      </c>
      <c r="E184" t="s">
        <v>548</v>
      </c>
      <c r="F184" t="s">
        <v>531</v>
      </c>
      <c r="G184" t="s">
        <v>0</v>
      </c>
      <c r="H184" s="11">
        <v>49</v>
      </c>
      <c r="I184" s="18">
        <v>0.34620000000000001</v>
      </c>
      <c r="J184" s="18">
        <v>0.9073</v>
      </c>
      <c r="K184" s="18">
        <v>2.2025999999999999</v>
      </c>
      <c r="L184" s="18">
        <v>0.51649999999999996</v>
      </c>
    </row>
    <row r="185" spans="1:12">
      <c r="A185" t="s">
        <v>528</v>
      </c>
      <c r="B185">
        <v>0.3</v>
      </c>
      <c r="C185">
        <v>256</v>
      </c>
      <c r="D185" s="1" t="b">
        <v>0</v>
      </c>
      <c r="E185" t="s">
        <v>548</v>
      </c>
      <c r="F185" t="s">
        <v>531</v>
      </c>
      <c r="G185" t="s">
        <v>1</v>
      </c>
      <c r="H185" s="11">
        <v>141</v>
      </c>
      <c r="I185" s="18">
        <v>0.35859999999999997</v>
      </c>
      <c r="J185" s="18">
        <v>0.8962</v>
      </c>
      <c r="K185" s="18">
        <v>2.1006999999999998</v>
      </c>
      <c r="L185" s="18">
        <v>0.51649999999999996</v>
      </c>
    </row>
    <row r="186" spans="1:12">
      <c r="A186" t="s">
        <v>528</v>
      </c>
      <c r="B186">
        <v>0.3</v>
      </c>
      <c r="C186">
        <v>256</v>
      </c>
      <c r="D186" s="1" t="b">
        <v>0</v>
      </c>
      <c r="E186" t="s">
        <v>547</v>
      </c>
      <c r="F186" t="s">
        <v>532</v>
      </c>
      <c r="G186" t="s">
        <v>0</v>
      </c>
      <c r="H186" s="11">
        <v>151</v>
      </c>
      <c r="I186" s="18">
        <v>1.3915999999999999</v>
      </c>
      <c r="J186" s="18">
        <v>0.58009999999999995</v>
      </c>
      <c r="K186" s="18">
        <v>1.7938000000000001</v>
      </c>
      <c r="L186" s="18">
        <v>0.51600000000000001</v>
      </c>
    </row>
    <row r="187" spans="1:12">
      <c r="A187" t="s">
        <v>528</v>
      </c>
      <c r="B187">
        <v>0.1</v>
      </c>
      <c r="C187">
        <v>256</v>
      </c>
      <c r="D187" s="1" t="b">
        <v>0</v>
      </c>
      <c r="E187" t="s">
        <v>547</v>
      </c>
      <c r="F187" t="s">
        <v>532</v>
      </c>
      <c r="G187" t="s">
        <v>0</v>
      </c>
      <c r="H187" s="11">
        <v>150</v>
      </c>
      <c r="I187" s="18">
        <v>1.2789999999999999</v>
      </c>
      <c r="J187" s="18">
        <v>0.61319999999999997</v>
      </c>
      <c r="K187" s="18">
        <v>1.7802</v>
      </c>
      <c r="L187" s="18">
        <v>0.51500000000000001</v>
      </c>
    </row>
    <row r="188" spans="1:12">
      <c r="A188" t="s">
        <v>528</v>
      </c>
      <c r="B188">
        <v>0.3</v>
      </c>
      <c r="C188">
        <v>64</v>
      </c>
      <c r="D188" s="1" t="b">
        <v>0</v>
      </c>
      <c r="E188" t="s">
        <v>548</v>
      </c>
      <c r="F188" t="s">
        <v>531</v>
      </c>
      <c r="G188" t="s">
        <v>1</v>
      </c>
      <c r="H188" s="11">
        <v>42</v>
      </c>
      <c r="I188" s="18">
        <v>0.33589999999999998</v>
      </c>
      <c r="J188" s="18">
        <v>0.90939999999999999</v>
      </c>
      <c r="K188" s="18">
        <v>2.2324000000000002</v>
      </c>
      <c r="L188" s="18">
        <v>0.51500000000000001</v>
      </c>
    </row>
    <row r="189" spans="1:12">
      <c r="A189" t="s">
        <v>528</v>
      </c>
      <c r="B189">
        <v>0.5</v>
      </c>
      <c r="C189">
        <v>64</v>
      </c>
      <c r="D189" s="1" t="b">
        <v>0</v>
      </c>
      <c r="E189" t="s">
        <v>548</v>
      </c>
      <c r="F189" t="s">
        <v>531</v>
      </c>
      <c r="G189" t="s">
        <v>1</v>
      </c>
      <c r="H189" s="11">
        <v>49</v>
      </c>
      <c r="I189" s="18">
        <v>0.44769999999999999</v>
      </c>
      <c r="J189" s="18">
        <v>0.875</v>
      </c>
      <c r="K189" s="18">
        <v>2.1781000000000001</v>
      </c>
      <c r="L189" s="18">
        <v>0.51500000000000001</v>
      </c>
    </row>
    <row r="190" spans="1:12">
      <c r="A190" t="s">
        <v>528</v>
      </c>
      <c r="B190">
        <v>0.1</v>
      </c>
      <c r="C190">
        <v>64</v>
      </c>
      <c r="D190" s="1" t="b">
        <v>0</v>
      </c>
      <c r="E190" t="s">
        <v>547</v>
      </c>
      <c r="F190" t="s">
        <v>531</v>
      </c>
      <c r="G190" t="s">
        <v>5</v>
      </c>
      <c r="H190" s="11">
        <v>42</v>
      </c>
      <c r="I190" s="18">
        <v>0.2011</v>
      </c>
      <c r="J190" s="18">
        <v>0.9456</v>
      </c>
      <c r="K190" s="18">
        <v>2.4836</v>
      </c>
      <c r="L190" s="18">
        <v>0.51500000000000001</v>
      </c>
    </row>
    <row r="191" spans="1:12">
      <c r="A191" t="s">
        <v>528</v>
      </c>
      <c r="B191">
        <v>0.5</v>
      </c>
      <c r="C191">
        <v>128</v>
      </c>
      <c r="D191" s="1" t="b">
        <v>0</v>
      </c>
      <c r="E191" t="s">
        <v>548</v>
      </c>
      <c r="F191" t="s">
        <v>531</v>
      </c>
      <c r="G191" t="s">
        <v>4</v>
      </c>
      <c r="H191" s="11">
        <v>75</v>
      </c>
      <c r="I191" s="18">
        <v>0.31830000000000003</v>
      </c>
      <c r="J191" s="18">
        <v>0.90749999999999997</v>
      </c>
      <c r="K191" s="18">
        <v>2.2692000000000001</v>
      </c>
      <c r="L191" s="18">
        <v>0.51449999999999996</v>
      </c>
    </row>
    <row r="192" spans="1:12">
      <c r="A192" t="s">
        <v>528</v>
      </c>
      <c r="B192">
        <v>0.1</v>
      </c>
      <c r="C192">
        <v>64</v>
      </c>
      <c r="D192" s="1" t="b">
        <v>0</v>
      </c>
      <c r="E192" t="s">
        <v>548</v>
      </c>
      <c r="F192" t="s">
        <v>532</v>
      </c>
      <c r="G192" t="s">
        <v>0</v>
      </c>
      <c r="H192" s="11">
        <v>47</v>
      </c>
      <c r="I192" s="18">
        <v>0.94969999999999999</v>
      </c>
      <c r="J192" s="18">
        <v>0.72660000000000002</v>
      </c>
      <c r="K192" s="18">
        <v>1.8725000000000001</v>
      </c>
      <c r="L192" s="18">
        <v>0.51349999999999996</v>
      </c>
    </row>
    <row r="193" spans="1:12">
      <c r="A193" t="s">
        <v>528</v>
      </c>
      <c r="B193">
        <v>0.3</v>
      </c>
      <c r="C193">
        <v>64</v>
      </c>
      <c r="D193" s="1" t="b">
        <v>0</v>
      </c>
      <c r="E193" t="s">
        <v>548</v>
      </c>
      <c r="F193" t="s">
        <v>531</v>
      </c>
      <c r="G193" t="s">
        <v>4</v>
      </c>
      <c r="H193" s="11">
        <v>42</v>
      </c>
      <c r="I193" s="18">
        <v>0.25309999999999999</v>
      </c>
      <c r="J193" s="18">
        <v>0.93149999999999999</v>
      </c>
      <c r="K193" s="18">
        <v>2.4828000000000001</v>
      </c>
      <c r="L193" s="18">
        <v>0.51300000000000001</v>
      </c>
    </row>
    <row r="194" spans="1:12">
      <c r="A194" t="s">
        <v>528</v>
      </c>
      <c r="B194">
        <v>0.1</v>
      </c>
      <c r="C194">
        <v>64</v>
      </c>
      <c r="D194" s="1" t="b">
        <v>0</v>
      </c>
      <c r="E194" t="s">
        <v>547</v>
      </c>
      <c r="F194" t="s">
        <v>531</v>
      </c>
      <c r="G194" t="s">
        <v>0</v>
      </c>
      <c r="H194" s="11">
        <v>42</v>
      </c>
      <c r="I194" s="18">
        <v>0.41570000000000001</v>
      </c>
      <c r="J194" s="18">
        <v>0.88900000000000001</v>
      </c>
      <c r="K194" s="18">
        <v>2.1686999999999999</v>
      </c>
      <c r="L194" s="18">
        <v>0.51200000000000001</v>
      </c>
    </row>
    <row r="195" spans="1:12">
      <c r="A195" t="s">
        <v>528</v>
      </c>
      <c r="B195">
        <v>0.1</v>
      </c>
      <c r="C195">
        <v>256</v>
      </c>
      <c r="D195" s="1" t="b">
        <v>0</v>
      </c>
      <c r="E195" t="s">
        <v>547</v>
      </c>
      <c r="F195" t="s">
        <v>531</v>
      </c>
      <c r="G195" t="s">
        <v>3</v>
      </c>
      <c r="H195" s="11">
        <v>165</v>
      </c>
      <c r="I195" s="18">
        <v>0.26150000000000001</v>
      </c>
      <c r="J195" s="18">
        <v>0.92630000000000001</v>
      </c>
      <c r="K195" s="18">
        <v>2.2892999999999999</v>
      </c>
      <c r="L195" s="18">
        <v>0.51200000000000001</v>
      </c>
    </row>
    <row r="196" spans="1:12">
      <c r="A196" t="s">
        <v>528</v>
      </c>
      <c r="B196">
        <v>0.1</v>
      </c>
      <c r="C196">
        <v>256</v>
      </c>
      <c r="D196" s="1" t="b">
        <v>0</v>
      </c>
      <c r="E196" t="s">
        <v>548</v>
      </c>
      <c r="F196" t="s">
        <v>531</v>
      </c>
      <c r="G196" t="s">
        <v>5</v>
      </c>
      <c r="H196" s="11">
        <v>138</v>
      </c>
      <c r="I196" s="18">
        <v>0.1709</v>
      </c>
      <c r="J196" s="18">
        <v>0.95169999999999999</v>
      </c>
      <c r="K196" s="18">
        <v>2.4615999999999998</v>
      </c>
      <c r="L196" s="18">
        <v>0.51149999999999995</v>
      </c>
    </row>
    <row r="197" spans="1:12">
      <c r="A197" t="s">
        <v>528</v>
      </c>
      <c r="B197">
        <v>0.3</v>
      </c>
      <c r="C197">
        <v>64</v>
      </c>
      <c r="D197" s="1" t="b">
        <v>0</v>
      </c>
      <c r="E197" t="s">
        <v>548</v>
      </c>
      <c r="F197" t="s">
        <v>531</v>
      </c>
      <c r="G197" t="s">
        <v>5</v>
      </c>
      <c r="H197" s="11">
        <v>42</v>
      </c>
      <c r="I197" s="18">
        <v>0.23949999999999999</v>
      </c>
      <c r="J197" s="18">
        <v>0.93369999999999997</v>
      </c>
      <c r="K197" s="18">
        <v>2.3561000000000001</v>
      </c>
      <c r="L197" s="18">
        <v>0.51149999999999995</v>
      </c>
    </row>
    <row r="198" spans="1:12">
      <c r="A198" t="s">
        <v>528</v>
      </c>
      <c r="B198">
        <v>0.5</v>
      </c>
      <c r="C198">
        <v>64</v>
      </c>
      <c r="D198" s="1" t="b">
        <v>0</v>
      </c>
      <c r="E198" t="s">
        <v>547</v>
      </c>
      <c r="F198" t="s">
        <v>532</v>
      </c>
      <c r="G198" t="s">
        <v>4</v>
      </c>
      <c r="H198" s="11">
        <v>41</v>
      </c>
      <c r="I198" s="18">
        <v>1.2730999999999999</v>
      </c>
      <c r="J198" s="18">
        <v>0.62070000000000003</v>
      </c>
      <c r="K198" s="18">
        <v>1.7847999999999999</v>
      </c>
      <c r="L198" s="18">
        <v>0.51149999999999995</v>
      </c>
    </row>
    <row r="199" spans="1:12">
      <c r="A199" t="s">
        <v>528</v>
      </c>
      <c r="B199">
        <v>0.3</v>
      </c>
      <c r="C199">
        <v>256</v>
      </c>
      <c r="D199" s="1" t="b">
        <v>0</v>
      </c>
      <c r="E199" t="s">
        <v>548</v>
      </c>
      <c r="F199" t="s">
        <v>531</v>
      </c>
      <c r="G199" t="s">
        <v>0</v>
      </c>
      <c r="H199" s="11">
        <v>142</v>
      </c>
      <c r="I199" s="18">
        <v>0.4178</v>
      </c>
      <c r="J199" s="18">
        <v>0.88149999999999995</v>
      </c>
      <c r="K199" s="18">
        <v>2.1459000000000001</v>
      </c>
      <c r="L199" s="18">
        <v>0.51</v>
      </c>
    </row>
    <row r="200" spans="1:12">
      <c r="A200" t="s">
        <v>528</v>
      </c>
      <c r="B200">
        <v>0.1</v>
      </c>
      <c r="C200">
        <v>128</v>
      </c>
      <c r="D200" s="1" t="b">
        <v>0</v>
      </c>
      <c r="E200" t="s">
        <v>548</v>
      </c>
      <c r="F200" t="s">
        <v>531</v>
      </c>
      <c r="G200" t="s">
        <v>1</v>
      </c>
      <c r="H200" s="11">
        <v>74</v>
      </c>
      <c r="I200" s="18">
        <v>0.25919999999999999</v>
      </c>
      <c r="J200" s="18">
        <v>0.9325</v>
      </c>
      <c r="K200" s="18">
        <v>2.4001999999999999</v>
      </c>
      <c r="L200" s="18">
        <v>0.50949999999999995</v>
      </c>
    </row>
    <row r="201" spans="1:12">
      <c r="A201" t="s">
        <v>528</v>
      </c>
      <c r="B201">
        <v>0.5</v>
      </c>
      <c r="C201">
        <v>64</v>
      </c>
      <c r="D201" s="1" t="b">
        <v>0</v>
      </c>
      <c r="E201" t="s">
        <v>547</v>
      </c>
      <c r="F201" t="s">
        <v>532</v>
      </c>
      <c r="G201" t="s">
        <v>1</v>
      </c>
      <c r="H201" s="11">
        <v>42</v>
      </c>
      <c r="I201" s="18">
        <v>1.5009999999999999</v>
      </c>
      <c r="J201" s="18">
        <v>0.54369999999999996</v>
      </c>
      <c r="K201" s="18">
        <v>1.806</v>
      </c>
      <c r="L201" s="18">
        <v>0.50949999999999995</v>
      </c>
    </row>
    <row r="202" spans="1:12">
      <c r="A202" t="s">
        <v>528</v>
      </c>
      <c r="B202">
        <v>0.1</v>
      </c>
      <c r="C202">
        <v>128</v>
      </c>
      <c r="D202" s="1" t="b">
        <v>0</v>
      </c>
      <c r="E202" t="s">
        <v>548</v>
      </c>
      <c r="F202" t="s">
        <v>531</v>
      </c>
      <c r="G202" t="s">
        <v>0</v>
      </c>
      <c r="H202" s="11">
        <v>79</v>
      </c>
      <c r="I202" s="18">
        <v>0.29220000000000002</v>
      </c>
      <c r="J202" s="18">
        <v>0.92030000000000001</v>
      </c>
      <c r="K202" s="18">
        <v>2.2658</v>
      </c>
      <c r="L202" s="18">
        <v>0.50900000000000001</v>
      </c>
    </row>
    <row r="203" spans="1:12">
      <c r="A203" t="s">
        <v>528</v>
      </c>
      <c r="B203">
        <v>0.3</v>
      </c>
      <c r="C203">
        <v>128</v>
      </c>
      <c r="D203" s="1" t="b">
        <v>0</v>
      </c>
      <c r="E203" t="s">
        <v>548</v>
      </c>
      <c r="F203" t="s">
        <v>531</v>
      </c>
      <c r="G203" t="s">
        <v>5</v>
      </c>
      <c r="H203" s="11">
        <v>74</v>
      </c>
      <c r="I203" s="18">
        <v>0.2331</v>
      </c>
      <c r="J203" s="18">
        <v>0.93540000000000001</v>
      </c>
      <c r="K203" s="18">
        <v>2.2743000000000002</v>
      </c>
      <c r="L203" s="18">
        <v>0.50900000000000001</v>
      </c>
    </row>
    <row r="204" spans="1:12">
      <c r="A204" t="s">
        <v>528</v>
      </c>
      <c r="B204">
        <v>0.3</v>
      </c>
      <c r="C204">
        <v>256</v>
      </c>
      <c r="D204" s="1" t="b">
        <v>0</v>
      </c>
      <c r="E204" t="s">
        <v>548</v>
      </c>
      <c r="F204" t="s">
        <v>531</v>
      </c>
      <c r="G204" t="s">
        <v>4</v>
      </c>
      <c r="H204" s="11">
        <v>142</v>
      </c>
      <c r="I204" s="18">
        <v>0.25359999999999999</v>
      </c>
      <c r="J204" s="18">
        <v>0.92490000000000006</v>
      </c>
      <c r="K204" s="18">
        <v>2.2517999999999998</v>
      </c>
      <c r="L204" s="18">
        <v>0.50749999999999995</v>
      </c>
    </row>
    <row r="205" spans="1:12">
      <c r="A205" t="s">
        <v>528</v>
      </c>
      <c r="B205">
        <v>0.1</v>
      </c>
      <c r="C205">
        <v>64</v>
      </c>
      <c r="D205" s="1" t="b">
        <v>0</v>
      </c>
      <c r="E205" t="s">
        <v>548</v>
      </c>
      <c r="F205" t="s">
        <v>531</v>
      </c>
      <c r="G205" t="s">
        <v>5</v>
      </c>
      <c r="H205" s="11">
        <v>49</v>
      </c>
      <c r="I205" s="18">
        <v>0.18909999999999999</v>
      </c>
      <c r="J205" s="18">
        <v>0.95</v>
      </c>
      <c r="K205" s="18">
        <v>2.6053000000000002</v>
      </c>
      <c r="L205" s="18">
        <v>0.50700000000000001</v>
      </c>
    </row>
    <row r="206" spans="1:12">
      <c r="A206" t="s">
        <v>528</v>
      </c>
      <c r="B206">
        <v>0.1</v>
      </c>
      <c r="C206">
        <v>64</v>
      </c>
      <c r="D206" s="1" t="b">
        <v>0</v>
      </c>
      <c r="E206" t="s">
        <v>547</v>
      </c>
      <c r="F206" t="s">
        <v>532</v>
      </c>
      <c r="G206" t="s">
        <v>0</v>
      </c>
      <c r="H206" s="11">
        <v>41</v>
      </c>
      <c r="I206" s="18">
        <v>1.3443000000000001</v>
      </c>
      <c r="J206" s="18">
        <v>0.60140000000000005</v>
      </c>
      <c r="K206" s="18">
        <v>1.8832</v>
      </c>
      <c r="L206" s="18">
        <v>0.50649999999999995</v>
      </c>
    </row>
    <row r="207" spans="1:12">
      <c r="A207" t="s">
        <v>528</v>
      </c>
      <c r="B207">
        <v>0.1</v>
      </c>
      <c r="C207">
        <v>256</v>
      </c>
      <c r="D207" s="1" t="b">
        <v>0</v>
      </c>
      <c r="E207" t="s">
        <v>548</v>
      </c>
      <c r="F207" t="s">
        <v>531</v>
      </c>
      <c r="G207" t="s">
        <v>0</v>
      </c>
      <c r="H207" s="11">
        <v>138</v>
      </c>
      <c r="I207" s="18">
        <v>0.31109999999999999</v>
      </c>
      <c r="J207" s="18">
        <v>0.91049999999999998</v>
      </c>
      <c r="K207" s="18">
        <v>2.3136000000000001</v>
      </c>
      <c r="L207" s="18">
        <v>0.50549999999999995</v>
      </c>
    </row>
    <row r="208" spans="1:12">
      <c r="A208" t="s">
        <v>528</v>
      </c>
      <c r="B208">
        <v>0.3</v>
      </c>
      <c r="C208">
        <v>64</v>
      </c>
      <c r="D208" s="1" t="b">
        <v>0</v>
      </c>
      <c r="E208" t="s">
        <v>547</v>
      </c>
      <c r="F208" t="s">
        <v>532</v>
      </c>
      <c r="G208" t="s">
        <v>0</v>
      </c>
      <c r="H208" s="11">
        <v>41</v>
      </c>
      <c r="I208" s="18">
        <v>1.5034000000000001</v>
      </c>
      <c r="J208" s="18">
        <v>0.53610000000000002</v>
      </c>
      <c r="K208" s="18">
        <v>1.8984000000000001</v>
      </c>
      <c r="L208" s="18">
        <v>0.505</v>
      </c>
    </row>
    <row r="209" spans="1:12">
      <c r="A209" t="s">
        <v>528</v>
      </c>
      <c r="B209">
        <v>0.1</v>
      </c>
      <c r="C209">
        <v>256</v>
      </c>
      <c r="D209" s="1" t="b">
        <v>0</v>
      </c>
      <c r="E209" t="s">
        <v>548</v>
      </c>
      <c r="F209" t="s">
        <v>531</v>
      </c>
      <c r="G209" t="s">
        <v>2</v>
      </c>
      <c r="H209" s="11">
        <v>137</v>
      </c>
      <c r="I209" s="18">
        <v>0.23250000000000001</v>
      </c>
      <c r="J209" s="18">
        <v>0.93310000000000004</v>
      </c>
      <c r="K209" s="18">
        <v>2.3315999999999999</v>
      </c>
      <c r="L209" s="18">
        <v>0.505</v>
      </c>
    </row>
    <row r="210" spans="1:12">
      <c r="A210" t="s">
        <v>528</v>
      </c>
      <c r="B210">
        <v>0.1</v>
      </c>
      <c r="C210">
        <v>128</v>
      </c>
      <c r="D210" s="1" t="b">
        <v>0</v>
      </c>
      <c r="E210" t="s">
        <v>548</v>
      </c>
      <c r="F210" t="s">
        <v>531</v>
      </c>
      <c r="G210" t="s">
        <v>5</v>
      </c>
      <c r="H210" s="11">
        <v>74</v>
      </c>
      <c r="I210" s="18">
        <v>0.17710000000000001</v>
      </c>
      <c r="J210" s="18">
        <v>0.95199999999999996</v>
      </c>
      <c r="K210" s="18">
        <v>2.4777</v>
      </c>
      <c r="L210" s="18">
        <v>0.505</v>
      </c>
    </row>
    <row r="211" spans="1:12">
      <c r="A211" t="s">
        <v>528</v>
      </c>
      <c r="B211">
        <v>0.5</v>
      </c>
      <c r="C211">
        <v>64</v>
      </c>
      <c r="D211" s="1" t="b">
        <v>0</v>
      </c>
      <c r="E211" t="s">
        <v>547</v>
      </c>
      <c r="F211" t="s">
        <v>532</v>
      </c>
      <c r="G211" t="s">
        <v>2</v>
      </c>
      <c r="H211" s="11">
        <v>42</v>
      </c>
      <c r="I211" s="18">
        <v>1.4298</v>
      </c>
      <c r="J211" s="18">
        <v>0.56469999999999998</v>
      </c>
      <c r="K211" s="18">
        <v>1.825</v>
      </c>
      <c r="L211" s="18">
        <v>0.504</v>
      </c>
    </row>
    <row r="212" spans="1:12">
      <c r="A212" t="s">
        <v>528</v>
      </c>
      <c r="B212">
        <v>0.1</v>
      </c>
      <c r="C212">
        <v>64</v>
      </c>
      <c r="D212" s="1" t="b">
        <v>0</v>
      </c>
      <c r="E212" t="s">
        <v>548</v>
      </c>
      <c r="F212" t="s">
        <v>531</v>
      </c>
      <c r="G212" t="s">
        <v>4</v>
      </c>
      <c r="H212" s="11">
        <v>49</v>
      </c>
      <c r="I212" s="18">
        <v>0.2122</v>
      </c>
      <c r="J212" s="18">
        <v>0.94569999999999999</v>
      </c>
      <c r="K212" s="18">
        <v>2.5110000000000001</v>
      </c>
      <c r="L212" s="18">
        <v>0.4995</v>
      </c>
    </row>
    <row r="213" spans="1:12">
      <c r="A213" t="s">
        <v>528</v>
      </c>
      <c r="B213">
        <v>0.5</v>
      </c>
      <c r="C213">
        <v>128</v>
      </c>
      <c r="D213" s="1" t="b">
        <v>0</v>
      </c>
      <c r="E213" t="s">
        <v>547</v>
      </c>
      <c r="F213" t="s">
        <v>532</v>
      </c>
      <c r="G213" t="s">
        <v>0</v>
      </c>
      <c r="H213" s="11">
        <v>75</v>
      </c>
      <c r="I213" s="18">
        <v>1.5077</v>
      </c>
      <c r="J213" s="18">
        <v>0.54190000000000005</v>
      </c>
      <c r="K213" s="18">
        <v>1.8475999999999999</v>
      </c>
      <c r="L213" s="18">
        <v>0.4975</v>
      </c>
    </row>
    <row r="214" spans="1:12">
      <c r="A214" t="s">
        <v>528</v>
      </c>
      <c r="B214">
        <v>0.1</v>
      </c>
      <c r="C214">
        <v>128</v>
      </c>
      <c r="D214" s="1" t="b">
        <v>0</v>
      </c>
      <c r="E214" t="s">
        <v>548</v>
      </c>
      <c r="F214" t="s">
        <v>531</v>
      </c>
      <c r="G214" t="s">
        <v>3</v>
      </c>
      <c r="H214" s="11">
        <v>74</v>
      </c>
      <c r="I214" s="18">
        <v>0.1963</v>
      </c>
      <c r="J214" s="18">
        <v>0.94510000000000005</v>
      </c>
      <c r="K214" s="18">
        <v>2.5337999999999998</v>
      </c>
      <c r="L214" s="18">
        <v>0.497</v>
      </c>
    </row>
    <row r="215" spans="1:12">
      <c r="A215" t="s">
        <v>528</v>
      </c>
      <c r="B215">
        <v>0.1</v>
      </c>
      <c r="C215">
        <v>256</v>
      </c>
      <c r="D215" s="1" t="b">
        <v>0</v>
      </c>
      <c r="E215" t="s">
        <v>548</v>
      </c>
      <c r="F215" t="s">
        <v>531</v>
      </c>
      <c r="G215" t="s">
        <v>3</v>
      </c>
      <c r="H215" s="11">
        <v>137</v>
      </c>
      <c r="I215" s="18">
        <v>0.21740000000000001</v>
      </c>
      <c r="J215" s="18">
        <v>0.93600000000000005</v>
      </c>
      <c r="K215" s="18">
        <v>2.4964</v>
      </c>
      <c r="L215" s="18">
        <v>0.4945</v>
      </c>
    </row>
    <row r="216" spans="1:12">
      <c r="A216" t="s">
        <v>528</v>
      </c>
      <c r="B216">
        <v>0.1</v>
      </c>
      <c r="C216">
        <v>256</v>
      </c>
      <c r="D216" s="1" t="b">
        <v>0</v>
      </c>
      <c r="E216" t="s">
        <v>548</v>
      </c>
      <c r="F216" t="s">
        <v>531</v>
      </c>
      <c r="G216" t="s">
        <v>4</v>
      </c>
      <c r="H216" s="11">
        <v>138</v>
      </c>
      <c r="I216" s="18">
        <v>0.1938</v>
      </c>
      <c r="J216" s="18">
        <v>0.94230000000000003</v>
      </c>
      <c r="K216" s="18">
        <v>2.516</v>
      </c>
      <c r="L216" s="18">
        <v>0.48899999999999999</v>
      </c>
    </row>
    <row r="217" spans="1:12">
      <c r="A217" t="s">
        <v>528</v>
      </c>
      <c r="B217">
        <v>0.5</v>
      </c>
      <c r="C217">
        <v>64</v>
      </c>
      <c r="D217" s="1" t="b">
        <v>0</v>
      </c>
      <c r="E217" t="s">
        <v>547</v>
      </c>
      <c r="F217" t="s">
        <v>532</v>
      </c>
      <c r="G217" t="s">
        <v>0</v>
      </c>
      <c r="H217" s="11">
        <v>41</v>
      </c>
      <c r="I217" s="18">
        <v>1.5713999999999999</v>
      </c>
      <c r="J217" s="18">
        <v>0.51649999999999996</v>
      </c>
      <c r="K217" s="18">
        <v>1.8545</v>
      </c>
      <c r="L217" s="18">
        <v>0.48799999999999999</v>
      </c>
    </row>
    <row r="218" spans="1:12">
      <c r="A218" t="s">
        <v>556</v>
      </c>
      <c r="B218">
        <v>0.1</v>
      </c>
      <c r="C218">
        <v>64</v>
      </c>
      <c r="D218" t="b">
        <v>0</v>
      </c>
      <c r="E218" t="s">
        <v>548</v>
      </c>
      <c r="F218" t="s">
        <v>531</v>
      </c>
      <c r="G218" t="s">
        <v>0</v>
      </c>
      <c r="H218">
        <v>30</v>
      </c>
      <c r="I218">
        <v>0.26069999999999999</v>
      </c>
      <c r="J218">
        <v>0.92689999999999995</v>
      </c>
      <c r="K218">
        <v>2.1814</v>
      </c>
      <c r="L218">
        <v>0.52600000000000002</v>
      </c>
    </row>
    <row r="219" spans="1:12">
      <c r="A219" t="s">
        <v>556</v>
      </c>
      <c r="B219">
        <v>0.1</v>
      </c>
      <c r="C219">
        <v>64</v>
      </c>
      <c r="D219" t="b">
        <v>0</v>
      </c>
      <c r="E219" t="s">
        <v>548</v>
      </c>
      <c r="F219" t="s">
        <v>531</v>
      </c>
      <c r="G219" t="s">
        <v>1</v>
      </c>
      <c r="H219">
        <v>30</v>
      </c>
      <c r="I219">
        <v>0.22639999999999999</v>
      </c>
      <c r="J219">
        <v>0.93589999999999995</v>
      </c>
      <c r="K219">
        <v>2.4148000000000001</v>
      </c>
      <c r="L219">
        <v>0.50949999999999995</v>
      </c>
    </row>
    <row r="220" spans="1:12">
      <c r="A220" t="s">
        <v>556</v>
      </c>
      <c r="B220">
        <v>0.1</v>
      </c>
      <c r="C220">
        <v>64</v>
      </c>
      <c r="D220" t="b">
        <v>0</v>
      </c>
      <c r="E220" t="s">
        <v>548</v>
      </c>
      <c r="F220" t="s">
        <v>531</v>
      </c>
      <c r="G220" t="s">
        <v>2</v>
      </c>
      <c r="H220">
        <v>30</v>
      </c>
      <c r="I220">
        <v>0.19939999999999999</v>
      </c>
      <c r="J220">
        <v>0.94569999999999999</v>
      </c>
      <c r="K220">
        <v>2.3062999999999998</v>
      </c>
      <c r="L220">
        <v>0.52900000000000003</v>
      </c>
    </row>
    <row r="221" spans="1:12">
      <c r="A221" t="s">
        <v>556</v>
      </c>
      <c r="B221">
        <v>0.1</v>
      </c>
      <c r="C221">
        <v>64</v>
      </c>
      <c r="D221" t="b">
        <v>0</v>
      </c>
      <c r="E221" t="s">
        <v>548</v>
      </c>
      <c r="F221" t="s">
        <v>531</v>
      </c>
      <c r="G221" t="s">
        <v>3</v>
      </c>
      <c r="H221">
        <v>30</v>
      </c>
      <c r="I221">
        <v>0.1701</v>
      </c>
      <c r="J221">
        <v>0.95240000000000002</v>
      </c>
      <c r="K221">
        <v>2.3706999999999998</v>
      </c>
      <c r="L221">
        <v>0.50949999999999995</v>
      </c>
    </row>
    <row r="222" spans="1:12">
      <c r="A222" t="s">
        <v>556</v>
      </c>
      <c r="B222">
        <v>0.1</v>
      </c>
      <c r="C222">
        <v>64</v>
      </c>
      <c r="D222" t="b">
        <v>0</v>
      </c>
      <c r="E222" t="s">
        <v>548</v>
      </c>
      <c r="F222" t="s">
        <v>531</v>
      </c>
      <c r="G222" t="s">
        <v>4</v>
      </c>
      <c r="H222">
        <v>30</v>
      </c>
      <c r="I222">
        <v>0.1618</v>
      </c>
      <c r="J222">
        <v>0.95440000000000003</v>
      </c>
      <c r="K222">
        <v>2.3856999999999999</v>
      </c>
      <c r="L222">
        <v>0.51400000000000001</v>
      </c>
    </row>
    <row r="223" spans="1:12">
      <c r="A223" t="s">
        <v>556</v>
      </c>
      <c r="B223">
        <v>0.1</v>
      </c>
      <c r="C223">
        <v>64</v>
      </c>
      <c r="D223" t="b">
        <v>0</v>
      </c>
      <c r="E223" t="s">
        <v>548</v>
      </c>
      <c r="F223" t="s">
        <v>531</v>
      </c>
      <c r="G223" t="s">
        <v>5</v>
      </c>
      <c r="H223">
        <v>30</v>
      </c>
      <c r="I223">
        <v>0.14480000000000001</v>
      </c>
      <c r="J223">
        <v>0.96099999999999997</v>
      </c>
      <c r="K223">
        <v>2.42</v>
      </c>
      <c r="L223">
        <v>0.50949999999999995</v>
      </c>
    </row>
    <row r="224" spans="1:12">
      <c r="A224" t="s">
        <v>556</v>
      </c>
      <c r="B224">
        <v>0.1</v>
      </c>
      <c r="C224">
        <v>64</v>
      </c>
      <c r="D224" t="b">
        <v>0</v>
      </c>
      <c r="E224" t="s">
        <v>548</v>
      </c>
      <c r="F224" t="s">
        <v>532</v>
      </c>
      <c r="G224" t="s">
        <v>0</v>
      </c>
      <c r="H224">
        <v>30</v>
      </c>
      <c r="I224">
        <v>0.88400000000000001</v>
      </c>
      <c r="J224">
        <v>0.74060000000000004</v>
      </c>
      <c r="K224">
        <v>1.7849999999999999</v>
      </c>
      <c r="L224">
        <v>0.52849999999999997</v>
      </c>
    </row>
    <row r="225" spans="1:12">
      <c r="A225" t="s">
        <v>556</v>
      </c>
      <c r="B225">
        <v>0.1</v>
      </c>
      <c r="C225">
        <v>64</v>
      </c>
      <c r="D225" t="b">
        <v>0</v>
      </c>
      <c r="E225" t="s">
        <v>548</v>
      </c>
      <c r="F225" t="s">
        <v>532</v>
      </c>
      <c r="G225" t="s">
        <v>1</v>
      </c>
      <c r="H225">
        <v>30</v>
      </c>
      <c r="I225">
        <v>0.80159999999999998</v>
      </c>
      <c r="J225">
        <v>0.76490000000000002</v>
      </c>
      <c r="K225">
        <v>1.8711</v>
      </c>
      <c r="L225">
        <v>0.52949999999999997</v>
      </c>
    </row>
    <row r="226" spans="1:12">
      <c r="A226" t="s">
        <v>556</v>
      </c>
      <c r="B226">
        <v>0.1</v>
      </c>
      <c r="C226">
        <v>64</v>
      </c>
      <c r="D226" t="b">
        <v>0</v>
      </c>
      <c r="E226" t="s">
        <v>548</v>
      </c>
      <c r="F226" t="s">
        <v>532</v>
      </c>
      <c r="G226" t="s">
        <v>2</v>
      </c>
      <c r="H226">
        <v>30</v>
      </c>
      <c r="I226">
        <v>0.7248</v>
      </c>
      <c r="J226">
        <v>0.79200000000000004</v>
      </c>
      <c r="K226">
        <v>1.9414</v>
      </c>
      <c r="L226">
        <v>0.52549999999999997</v>
      </c>
    </row>
    <row r="227" spans="1:12">
      <c r="A227" t="s">
        <v>556</v>
      </c>
      <c r="B227">
        <v>0.1</v>
      </c>
      <c r="C227">
        <v>64</v>
      </c>
      <c r="D227" t="b">
        <v>0</v>
      </c>
      <c r="E227" t="s">
        <v>548</v>
      </c>
      <c r="F227" t="s">
        <v>532</v>
      </c>
      <c r="G227" t="s">
        <v>3</v>
      </c>
      <c r="H227">
        <v>32</v>
      </c>
      <c r="I227">
        <v>0.65300000000000002</v>
      </c>
      <c r="J227">
        <v>0.80630000000000002</v>
      </c>
      <c r="K227">
        <v>1.9233</v>
      </c>
      <c r="L227">
        <v>0.52049999999999996</v>
      </c>
    </row>
    <row r="228" spans="1:12">
      <c r="A228" t="s">
        <v>556</v>
      </c>
      <c r="B228">
        <v>0.1</v>
      </c>
      <c r="C228">
        <v>64</v>
      </c>
      <c r="D228" t="b">
        <v>0</v>
      </c>
      <c r="E228" t="s">
        <v>548</v>
      </c>
      <c r="F228" t="s">
        <v>532</v>
      </c>
      <c r="G228" t="s">
        <v>4</v>
      </c>
      <c r="H228">
        <v>30</v>
      </c>
      <c r="I228">
        <v>0.60240000000000005</v>
      </c>
      <c r="J228">
        <v>0.8286</v>
      </c>
      <c r="K228">
        <v>1.9387000000000001</v>
      </c>
      <c r="L228">
        <v>0.52600000000000002</v>
      </c>
    </row>
    <row r="229" spans="1:12">
      <c r="A229" t="s">
        <v>556</v>
      </c>
      <c r="B229">
        <v>0.1</v>
      </c>
      <c r="C229">
        <v>64</v>
      </c>
      <c r="D229" t="b">
        <v>0</v>
      </c>
      <c r="E229" t="s">
        <v>548</v>
      </c>
      <c r="F229" t="s">
        <v>532</v>
      </c>
      <c r="G229" t="s">
        <v>5</v>
      </c>
      <c r="H229">
        <v>30</v>
      </c>
      <c r="I229">
        <v>0.54820000000000002</v>
      </c>
      <c r="J229">
        <v>0.83640000000000003</v>
      </c>
      <c r="K229">
        <v>2.0055999999999998</v>
      </c>
      <c r="L229">
        <v>0.52900000000000003</v>
      </c>
    </row>
    <row r="230" spans="1:12">
      <c r="A230" t="s">
        <v>556</v>
      </c>
      <c r="B230">
        <v>0.1</v>
      </c>
      <c r="C230">
        <v>64</v>
      </c>
      <c r="D230" t="b">
        <v>0</v>
      </c>
      <c r="E230" t="s">
        <v>547</v>
      </c>
      <c r="F230" t="s">
        <v>531</v>
      </c>
      <c r="G230" t="s">
        <v>0</v>
      </c>
      <c r="H230">
        <v>37</v>
      </c>
      <c r="I230">
        <v>0.33350000000000002</v>
      </c>
      <c r="J230">
        <v>0.90849999999999997</v>
      </c>
      <c r="K230">
        <v>2.1854</v>
      </c>
      <c r="L230">
        <v>0.50749999999999995</v>
      </c>
    </row>
    <row r="231" spans="1:12">
      <c r="A231" t="s">
        <v>556</v>
      </c>
      <c r="B231">
        <v>0.1</v>
      </c>
      <c r="C231">
        <v>64</v>
      </c>
      <c r="D231" t="b">
        <v>0</v>
      </c>
      <c r="E231" t="s">
        <v>547</v>
      </c>
      <c r="F231" t="s">
        <v>531</v>
      </c>
      <c r="G231" t="s">
        <v>1</v>
      </c>
      <c r="H231">
        <v>37</v>
      </c>
      <c r="I231">
        <v>0.29220000000000002</v>
      </c>
      <c r="J231">
        <v>0.91679999999999995</v>
      </c>
      <c r="K231">
        <v>2.2437999999999998</v>
      </c>
      <c r="L231">
        <v>0.50600000000000001</v>
      </c>
    </row>
    <row r="232" spans="1:12">
      <c r="A232" t="s">
        <v>556</v>
      </c>
      <c r="B232">
        <v>0.1</v>
      </c>
      <c r="C232">
        <v>64</v>
      </c>
      <c r="D232" t="b">
        <v>0</v>
      </c>
      <c r="E232" t="s">
        <v>547</v>
      </c>
      <c r="F232" t="s">
        <v>531</v>
      </c>
      <c r="G232" t="s">
        <v>2</v>
      </c>
      <c r="H232">
        <v>36</v>
      </c>
      <c r="I232">
        <v>0.25619999999999998</v>
      </c>
      <c r="J232">
        <v>0.9284</v>
      </c>
      <c r="K232">
        <v>2.2572999999999999</v>
      </c>
      <c r="L232">
        <v>0.51449999999999996</v>
      </c>
    </row>
    <row r="233" spans="1:12">
      <c r="A233" t="s">
        <v>556</v>
      </c>
      <c r="B233">
        <v>0.1</v>
      </c>
      <c r="C233">
        <v>64</v>
      </c>
      <c r="D233" t="b">
        <v>0</v>
      </c>
      <c r="E233" t="s">
        <v>547</v>
      </c>
      <c r="F233" t="s">
        <v>531</v>
      </c>
      <c r="G233" t="s">
        <v>3</v>
      </c>
      <c r="H233">
        <v>33</v>
      </c>
      <c r="I233">
        <v>0.2281</v>
      </c>
      <c r="J233">
        <v>0.93769999999999998</v>
      </c>
      <c r="K233">
        <v>2.3027000000000002</v>
      </c>
      <c r="L233">
        <v>0.51100000000000001</v>
      </c>
    </row>
    <row r="234" spans="1:12">
      <c r="A234" t="s">
        <v>556</v>
      </c>
      <c r="B234">
        <v>0.1</v>
      </c>
      <c r="C234">
        <v>64</v>
      </c>
      <c r="D234" t="b">
        <v>0</v>
      </c>
      <c r="E234" t="s">
        <v>547</v>
      </c>
      <c r="F234" t="s">
        <v>531</v>
      </c>
      <c r="G234" t="s">
        <v>4</v>
      </c>
      <c r="H234">
        <v>32</v>
      </c>
      <c r="I234">
        <v>0.22309999999999999</v>
      </c>
      <c r="J234">
        <v>0.93740000000000001</v>
      </c>
      <c r="K234">
        <v>2.3147000000000002</v>
      </c>
      <c r="L234">
        <v>0.51200000000000001</v>
      </c>
    </row>
    <row r="235" spans="1:12">
      <c r="A235" t="s">
        <v>556</v>
      </c>
      <c r="B235">
        <v>0.1</v>
      </c>
      <c r="C235">
        <v>64</v>
      </c>
      <c r="D235" t="b">
        <v>0</v>
      </c>
      <c r="E235" t="s">
        <v>547</v>
      </c>
      <c r="F235" t="s">
        <v>531</v>
      </c>
      <c r="G235" t="s">
        <v>5</v>
      </c>
      <c r="H235">
        <v>32</v>
      </c>
      <c r="I235">
        <v>0.20749999999999999</v>
      </c>
      <c r="J235">
        <v>0.94369999999999998</v>
      </c>
      <c r="K235">
        <v>2.3719000000000001</v>
      </c>
      <c r="L235">
        <v>0.499</v>
      </c>
    </row>
    <row r="236" spans="1:12">
      <c r="A236" t="s">
        <v>556</v>
      </c>
      <c r="B236">
        <v>0.1</v>
      </c>
      <c r="C236">
        <v>64</v>
      </c>
      <c r="D236" t="b">
        <v>0</v>
      </c>
      <c r="E236" t="s">
        <v>547</v>
      </c>
      <c r="F236" t="s">
        <v>532</v>
      </c>
      <c r="G236" t="s">
        <v>0</v>
      </c>
      <c r="H236">
        <v>34</v>
      </c>
      <c r="I236">
        <v>1.1332</v>
      </c>
      <c r="J236">
        <v>0.6714</v>
      </c>
      <c r="K236">
        <v>1.7000999999999999</v>
      </c>
      <c r="L236">
        <v>0.54200000000000004</v>
      </c>
    </row>
    <row r="237" spans="1:12">
      <c r="A237" t="s">
        <v>556</v>
      </c>
      <c r="B237">
        <v>0.1</v>
      </c>
      <c r="C237">
        <v>64</v>
      </c>
      <c r="D237" t="b">
        <v>0</v>
      </c>
      <c r="E237" t="s">
        <v>547</v>
      </c>
      <c r="F237" t="s">
        <v>532</v>
      </c>
      <c r="G237" t="s">
        <v>1</v>
      </c>
      <c r="H237">
        <v>33</v>
      </c>
      <c r="I237">
        <v>1.0364</v>
      </c>
      <c r="J237">
        <v>0.69610000000000005</v>
      </c>
      <c r="K237">
        <v>1.7364999999999999</v>
      </c>
      <c r="L237">
        <v>0.53049999999999997</v>
      </c>
    </row>
    <row r="238" spans="1:12">
      <c r="A238" t="s">
        <v>556</v>
      </c>
      <c r="B238">
        <v>0.1</v>
      </c>
      <c r="C238">
        <v>64</v>
      </c>
      <c r="D238" t="b">
        <v>0</v>
      </c>
      <c r="E238" t="s">
        <v>547</v>
      </c>
      <c r="F238" t="s">
        <v>532</v>
      </c>
      <c r="G238" t="s">
        <v>2</v>
      </c>
      <c r="H238">
        <v>33</v>
      </c>
      <c r="I238">
        <v>0.9677</v>
      </c>
      <c r="J238">
        <v>0.71609999999999996</v>
      </c>
      <c r="K238">
        <v>1.7269000000000001</v>
      </c>
      <c r="L238">
        <v>0.53749999999999998</v>
      </c>
    </row>
    <row r="239" spans="1:12">
      <c r="A239" t="s">
        <v>556</v>
      </c>
      <c r="B239">
        <v>0.1</v>
      </c>
      <c r="C239">
        <v>64</v>
      </c>
      <c r="D239" t="b">
        <v>0</v>
      </c>
      <c r="E239" t="s">
        <v>547</v>
      </c>
      <c r="F239" t="s">
        <v>532</v>
      </c>
      <c r="G239" t="s">
        <v>3</v>
      </c>
      <c r="H239">
        <v>33</v>
      </c>
      <c r="I239">
        <v>0.88149999999999995</v>
      </c>
      <c r="J239">
        <v>0.73950000000000005</v>
      </c>
      <c r="K239">
        <v>1.6837</v>
      </c>
      <c r="L239">
        <v>0.55400000000000005</v>
      </c>
    </row>
    <row r="240" spans="1:12">
      <c r="A240" t="s">
        <v>556</v>
      </c>
      <c r="B240">
        <v>0.1</v>
      </c>
      <c r="C240">
        <v>64</v>
      </c>
      <c r="D240" t="b">
        <v>0</v>
      </c>
      <c r="E240" t="s">
        <v>547</v>
      </c>
      <c r="F240" t="s">
        <v>532</v>
      </c>
      <c r="G240" t="s">
        <v>4</v>
      </c>
      <c r="H240">
        <v>33</v>
      </c>
      <c r="I240">
        <v>0.81630000000000003</v>
      </c>
      <c r="J240">
        <v>0.76370000000000005</v>
      </c>
      <c r="K240">
        <v>1.7</v>
      </c>
      <c r="L240">
        <v>0.55300000000000005</v>
      </c>
    </row>
    <row r="241" spans="1:12">
      <c r="A241" t="s">
        <v>556</v>
      </c>
      <c r="B241">
        <v>0.1</v>
      </c>
      <c r="C241">
        <v>64</v>
      </c>
      <c r="D241" t="b">
        <v>0</v>
      </c>
      <c r="E241" t="s">
        <v>547</v>
      </c>
      <c r="F241" t="s">
        <v>532</v>
      </c>
      <c r="G241" t="s">
        <v>5</v>
      </c>
      <c r="H241">
        <v>33</v>
      </c>
      <c r="I241">
        <v>0.7429</v>
      </c>
      <c r="J241">
        <v>0.78939999999999999</v>
      </c>
      <c r="K241">
        <v>1.7182999999999999</v>
      </c>
      <c r="L241">
        <v>0.55400000000000005</v>
      </c>
    </row>
    <row r="242" spans="1:12">
      <c r="A242" t="s">
        <v>556</v>
      </c>
      <c r="B242">
        <v>0.1</v>
      </c>
      <c r="C242">
        <v>128</v>
      </c>
      <c r="D242" t="b">
        <v>0</v>
      </c>
      <c r="E242" t="s">
        <v>548</v>
      </c>
      <c r="F242" t="s">
        <v>531</v>
      </c>
      <c r="G242" t="s">
        <v>0</v>
      </c>
      <c r="H242">
        <v>57</v>
      </c>
      <c r="I242">
        <v>0.24229999999999999</v>
      </c>
      <c r="J242">
        <v>0.92989999999999995</v>
      </c>
      <c r="K242">
        <v>2.2473999999999998</v>
      </c>
      <c r="L242">
        <v>0.50900000000000001</v>
      </c>
    </row>
    <row r="243" spans="1:12">
      <c r="A243" t="s">
        <v>556</v>
      </c>
      <c r="B243">
        <v>0.1</v>
      </c>
      <c r="C243">
        <v>128</v>
      </c>
      <c r="D243" t="b">
        <v>0</v>
      </c>
      <c r="E243" t="s">
        <v>548</v>
      </c>
      <c r="F243" t="s">
        <v>531</v>
      </c>
      <c r="G243" t="s">
        <v>1</v>
      </c>
      <c r="H243">
        <v>64</v>
      </c>
      <c r="I243">
        <v>0.2157</v>
      </c>
      <c r="J243">
        <v>0.93759999999999999</v>
      </c>
      <c r="K243">
        <v>2.2966000000000002</v>
      </c>
      <c r="L243">
        <v>0.52349999999999997</v>
      </c>
    </row>
    <row r="244" spans="1:12">
      <c r="A244" t="s">
        <v>556</v>
      </c>
      <c r="B244">
        <v>0.1</v>
      </c>
      <c r="C244">
        <v>128</v>
      </c>
      <c r="D244" t="b">
        <v>0</v>
      </c>
      <c r="E244" t="s">
        <v>548</v>
      </c>
      <c r="F244" t="s">
        <v>531</v>
      </c>
      <c r="G244" t="s">
        <v>2</v>
      </c>
      <c r="H244">
        <v>63</v>
      </c>
      <c r="I244">
        <v>0.1908</v>
      </c>
      <c r="J244">
        <v>0.94410000000000005</v>
      </c>
      <c r="K244">
        <v>2.4049999999999998</v>
      </c>
      <c r="L244">
        <v>0.4945</v>
      </c>
    </row>
    <row r="245" spans="1:12">
      <c r="A245" t="s">
        <v>556</v>
      </c>
      <c r="B245">
        <v>0.1</v>
      </c>
      <c r="C245">
        <v>128</v>
      </c>
      <c r="D245" t="b">
        <v>0</v>
      </c>
      <c r="E245" t="s">
        <v>548</v>
      </c>
      <c r="F245" t="s">
        <v>531</v>
      </c>
      <c r="G245" t="s">
        <v>3</v>
      </c>
      <c r="H245">
        <v>64</v>
      </c>
      <c r="I245">
        <v>0.16250000000000001</v>
      </c>
      <c r="J245">
        <v>0.95430000000000004</v>
      </c>
      <c r="K245">
        <v>2.3170999999999999</v>
      </c>
      <c r="L245">
        <v>0.51600000000000001</v>
      </c>
    </row>
    <row r="246" spans="1:12">
      <c r="A246" t="s">
        <v>556</v>
      </c>
      <c r="B246">
        <v>0.1</v>
      </c>
      <c r="C246">
        <v>128</v>
      </c>
      <c r="D246" t="b">
        <v>0</v>
      </c>
      <c r="E246" t="s">
        <v>548</v>
      </c>
      <c r="F246" t="s">
        <v>531</v>
      </c>
      <c r="G246" t="s">
        <v>4</v>
      </c>
      <c r="H246">
        <v>63</v>
      </c>
      <c r="I246">
        <v>0.15049999999999999</v>
      </c>
      <c r="J246">
        <v>0.95540000000000003</v>
      </c>
      <c r="K246">
        <v>2.3990999999999998</v>
      </c>
      <c r="L246">
        <v>0.50349999999999995</v>
      </c>
    </row>
    <row r="247" spans="1:12">
      <c r="A247" t="s">
        <v>556</v>
      </c>
      <c r="B247">
        <v>0.1</v>
      </c>
      <c r="C247">
        <v>128</v>
      </c>
      <c r="D247" t="b">
        <v>0</v>
      </c>
      <c r="E247" t="s">
        <v>548</v>
      </c>
      <c r="F247" t="s">
        <v>531</v>
      </c>
      <c r="G247" t="s">
        <v>5</v>
      </c>
      <c r="H247">
        <v>64</v>
      </c>
      <c r="I247">
        <v>0.13669999999999999</v>
      </c>
      <c r="J247">
        <v>0.95899999999999996</v>
      </c>
      <c r="K247">
        <v>2.4036</v>
      </c>
      <c r="L247">
        <v>0.51449999999999996</v>
      </c>
    </row>
    <row r="248" spans="1:12">
      <c r="A248" t="s">
        <v>556</v>
      </c>
      <c r="B248">
        <v>0.1</v>
      </c>
      <c r="C248">
        <v>128</v>
      </c>
      <c r="D248" t="b">
        <v>0</v>
      </c>
      <c r="E248" t="s">
        <v>548</v>
      </c>
      <c r="F248" t="s">
        <v>532</v>
      </c>
      <c r="G248" t="s">
        <v>0</v>
      </c>
      <c r="H248">
        <v>57</v>
      </c>
      <c r="I248">
        <v>0.76290000000000002</v>
      </c>
      <c r="J248">
        <v>0.76970000000000005</v>
      </c>
      <c r="K248">
        <v>1.7017</v>
      </c>
      <c r="L248">
        <v>0.55300000000000005</v>
      </c>
    </row>
    <row r="249" spans="1:12">
      <c r="A249" t="s">
        <v>556</v>
      </c>
      <c r="B249">
        <v>0.1</v>
      </c>
      <c r="C249">
        <v>128</v>
      </c>
      <c r="D249" t="b">
        <v>0</v>
      </c>
      <c r="E249" t="s">
        <v>548</v>
      </c>
      <c r="F249" t="s">
        <v>532</v>
      </c>
      <c r="G249" t="s">
        <v>1</v>
      </c>
      <c r="H249">
        <v>57</v>
      </c>
      <c r="I249">
        <v>0.68400000000000005</v>
      </c>
      <c r="J249">
        <v>0.79849999999999999</v>
      </c>
      <c r="K249">
        <v>2.0958000000000001</v>
      </c>
      <c r="L249">
        <v>0.496</v>
      </c>
    </row>
    <row r="250" spans="1:12">
      <c r="A250" t="s">
        <v>556</v>
      </c>
      <c r="B250">
        <v>0.1</v>
      </c>
      <c r="C250">
        <v>128</v>
      </c>
      <c r="D250" t="b">
        <v>0</v>
      </c>
      <c r="E250" t="s">
        <v>548</v>
      </c>
      <c r="F250" t="s">
        <v>532</v>
      </c>
      <c r="G250" t="s">
        <v>2</v>
      </c>
      <c r="H250">
        <v>57</v>
      </c>
      <c r="I250">
        <v>0.60799999999999998</v>
      </c>
      <c r="J250">
        <v>0.81910000000000005</v>
      </c>
      <c r="K250">
        <v>1.8767</v>
      </c>
      <c r="L250">
        <v>0.54149999999999998</v>
      </c>
    </row>
    <row r="251" spans="1:12">
      <c r="A251" t="s">
        <v>556</v>
      </c>
      <c r="B251">
        <v>0.1</v>
      </c>
      <c r="C251">
        <v>128</v>
      </c>
      <c r="D251" t="b">
        <v>0</v>
      </c>
      <c r="E251" t="s">
        <v>548</v>
      </c>
      <c r="F251" t="s">
        <v>532</v>
      </c>
      <c r="G251" t="s">
        <v>3</v>
      </c>
      <c r="H251">
        <v>58</v>
      </c>
      <c r="I251">
        <v>0.54379999999999995</v>
      </c>
      <c r="J251">
        <v>0.84</v>
      </c>
      <c r="K251">
        <v>1.9176</v>
      </c>
      <c r="L251">
        <v>0.51700000000000002</v>
      </c>
    </row>
    <row r="252" spans="1:12">
      <c r="A252" t="s">
        <v>556</v>
      </c>
      <c r="B252">
        <v>0.1</v>
      </c>
      <c r="C252">
        <v>128</v>
      </c>
      <c r="D252" t="b">
        <v>0</v>
      </c>
      <c r="E252" t="s">
        <v>548</v>
      </c>
      <c r="F252" t="s">
        <v>532</v>
      </c>
      <c r="G252" t="s">
        <v>4</v>
      </c>
      <c r="H252">
        <v>58</v>
      </c>
      <c r="I252">
        <v>0.4864</v>
      </c>
      <c r="J252">
        <v>0.8569</v>
      </c>
      <c r="K252">
        <v>1.9327000000000001</v>
      </c>
      <c r="L252">
        <v>0.52249999999999996</v>
      </c>
    </row>
    <row r="253" spans="1:12">
      <c r="A253" t="s">
        <v>556</v>
      </c>
      <c r="B253">
        <v>0.1</v>
      </c>
      <c r="C253">
        <v>128</v>
      </c>
      <c r="D253" t="b">
        <v>0</v>
      </c>
      <c r="E253" t="s">
        <v>548</v>
      </c>
      <c r="F253" t="s">
        <v>532</v>
      </c>
      <c r="G253" t="s">
        <v>5</v>
      </c>
      <c r="H253">
        <v>58</v>
      </c>
      <c r="I253">
        <v>0.44590000000000002</v>
      </c>
      <c r="J253">
        <v>0.871</v>
      </c>
      <c r="K253">
        <v>1.9512</v>
      </c>
      <c r="L253">
        <v>0.54</v>
      </c>
    </row>
    <row r="254" spans="1:12">
      <c r="A254" t="s">
        <v>556</v>
      </c>
      <c r="B254">
        <v>0.1</v>
      </c>
      <c r="C254">
        <v>128</v>
      </c>
      <c r="D254" t="b">
        <v>0</v>
      </c>
      <c r="E254" t="s">
        <v>547</v>
      </c>
      <c r="F254" t="s">
        <v>531</v>
      </c>
      <c r="G254" t="s">
        <v>0</v>
      </c>
      <c r="H254">
        <v>62</v>
      </c>
      <c r="I254">
        <v>0.29959999999999998</v>
      </c>
      <c r="J254">
        <v>0.91459999999999997</v>
      </c>
      <c r="K254">
        <v>1.9540999999999999</v>
      </c>
      <c r="L254">
        <v>0.55100000000000005</v>
      </c>
    </row>
    <row r="255" spans="1:12">
      <c r="A255" t="s">
        <v>556</v>
      </c>
      <c r="B255">
        <v>0.1</v>
      </c>
      <c r="C255">
        <v>128</v>
      </c>
      <c r="D255" t="b">
        <v>0</v>
      </c>
      <c r="E255" t="s">
        <v>547</v>
      </c>
      <c r="F255" t="s">
        <v>531</v>
      </c>
      <c r="G255" t="s">
        <v>1</v>
      </c>
      <c r="H255">
        <v>61</v>
      </c>
      <c r="I255">
        <v>0.25600000000000001</v>
      </c>
      <c r="J255">
        <v>0.9254</v>
      </c>
      <c r="K255">
        <v>2.0537000000000001</v>
      </c>
      <c r="L255">
        <v>0.54200000000000004</v>
      </c>
    </row>
    <row r="256" spans="1:12">
      <c r="A256" t="s">
        <v>556</v>
      </c>
      <c r="B256">
        <v>0.1</v>
      </c>
      <c r="C256">
        <v>128</v>
      </c>
      <c r="D256" t="b">
        <v>0</v>
      </c>
      <c r="E256" t="s">
        <v>547</v>
      </c>
      <c r="F256" t="s">
        <v>531</v>
      </c>
      <c r="G256" t="s">
        <v>2</v>
      </c>
      <c r="H256">
        <v>60</v>
      </c>
      <c r="I256">
        <v>0.2001</v>
      </c>
      <c r="J256">
        <v>0.94299999999999995</v>
      </c>
      <c r="K256">
        <v>2.1404000000000001</v>
      </c>
      <c r="L256">
        <v>0.54100000000000004</v>
      </c>
    </row>
    <row r="257" spans="1:12">
      <c r="A257" t="s">
        <v>556</v>
      </c>
      <c r="B257">
        <v>0.1</v>
      </c>
      <c r="C257">
        <v>128</v>
      </c>
      <c r="D257" t="b">
        <v>0</v>
      </c>
      <c r="E257" t="s">
        <v>547</v>
      </c>
      <c r="F257" t="s">
        <v>531</v>
      </c>
      <c r="G257" t="s">
        <v>3</v>
      </c>
      <c r="H257">
        <v>60</v>
      </c>
      <c r="I257">
        <v>0.1986</v>
      </c>
      <c r="J257">
        <v>0.94130000000000003</v>
      </c>
      <c r="K257">
        <v>2.1442000000000001</v>
      </c>
      <c r="L257">
        <v>0.52900000000000003</v>
      </c>
    </row>
    <row r="258" spans="1:12">
      <c r="A258" t="s">
        <v>556</v>
      </c>
      <c r="B258">
        <v>0.1</v>
      </c>
      <c r="C258">
        <v>128</v>
      </c>
      <c r="D258" t="b">
        <v>0</v>
      </c>
      <c r="E258" t="s">
        <v>547</v>
      </c>
      <c r="F258" t="s">
        <v>531</v>
      </c>
      <c r="G258" t="s">
        <v>4</v>
      </c>
      <c r="H258">
        <v>61</v>
      </c>
      <c r="I258">
        <v>0.18459999999999999</v>
      </c>
      <c r="J258">
        <v>0.94940000000000002</v>
      </c>
      <c r="K258">
        <v>2.198</v>
      </c>
      <c r="L258">
        <v>0.53</v>
      </c>
    </row>
    <row r="259" spans="1:12">
      <c r="A259" t="s">
        <v>556</v>
      </c>
      <c r="B259">
        <v>0.1</v>
      </c>
      <c r="C259">
        <v>128</v>
      </c>
      <c r="D259" t="b">
        <v>0</v>
      </c>
      <c r="E259" t="s">
        <v>547</v>
      </c>
      <c r="F259" t="s">
        <v>531</v>
      </c>
      <c r="G259" t="s">
        <v>5</v>
      </c>
      <c r="H259">
        <v>61</v>
      </c>
      <c r="I259">
        <v>0.15770000000000001</v>
      </c>
      <c r="J259">
        <v>0.95599999999999996</v>
      </c>
      <c r="K259">
        <v>2.2534999999999998</v>
      </c>
      <c r="L259">
        <v>0.53600000000000003</v>
      </c>
    </row>
    <row r="260" spans="1:12">
      <c r="A260" t="s">
        <v>556</v>
      </c>
      <c r="B260">
        <v>0.1</v>
      </c>
      <c r="C260">
        <v>128</v>
      </c>
      <c r="D260" t="b">
        <v>0</v>
      </c>
      <c r="E260" t="s">
        <v>547</v>
      </c>
      <c r="F260" t="s">
        <v>532</v>
      </c>
      <c r="G260" t="s">
        <v>0</v>
      </c>
      <c r="H260">
        <v>56</v>
      </c>
      <c r="I260">
        <v>1.0094000000000001</v>
      </c>
      <c r="J260">
        <v>0.69910000000000005</v>
      </c>
      <c r="K260">
        <v>1.6055999999999999</v>
      </c>
      <c r="L260">
        <v>0.55149999999999999</v>
      </c>
    </row>
    <row r="261" spans="1:12">
      <c r="A261" t="s">
        <v>556</v>
      </c>
      <c r="B261">
        <v>0.1</v>
      </c>
      <c r="C261">
        <v>128</v>
      </c>
      <c r="D261" t="b">
        <v>0</v>
      </c>
      <c r="E261" t="s">
        <v>547</v>
      </c>
      <c r="F261" t="s">
        <v>532</v>
      </c>
      <c r="G261" t="s">
        <v>1</v>
      </c>
      <c r="H261">
        <v>56</v>
      </c>
      <c r="I261">
        <v>0.92720000000000002</v>
      </c>
      <c r="J261">
        <v>0.72689999999999999</v>
      </c>
      <c r="K261">
        <v>1.6867000000000001</v>
      </c>
      <c r="L261">
        <v>0.54549999999999998</v>
      </c>
    </row>
    <row r="262" spans="1:12">
      <c r="A262" t="s">
        <v>556</v>
      </c>
      <c r="B262">
        <v>0.1</v>
      </c>
      <c r="C262">
        <v>128</v>
      </c>
      <c r="D262" t="b">
        <v>0</v>
      </c>
      <c r="E262" t="s">
        <v>547</v>
      </c>
      <c r="F262" t="s">
        <v>532</v>
      </c>
      <c r="G262" t="s">
        <v>2</v>
      </c>
      <c r="H262">
        <v>56</v>
      </c>
      <c r="I262">
        <v>0.84660000000000002</v>
      </c>
      <c r="J262">
        <v>0.75160000000000005</v>
      </c>
      <c r="K262">
        <v>1.6528</v>
      </c>
      <c r="L262">
        <v>0.55600000000000005</v>
      </c>
    </row>
    <row r="263" spans="1:12">
      <c r="A263" t="s">
        <v>556</v>
      </c>
      <c r="B263">
        <v>0.1</v>
      </c>
      <c r="C263">
        <v>128</v>
      </c>
      <c r="D263" t="b">
        <v>0</v>
      </c>
      <c r="E263" t="s">
        <v>547</v>
      </c>
      <c r="F263" t="s">
        <v>532</v>
      </c>
      <c r="G263" t="s">
        <v>3</v>
      </c>
      <c r="H263">
        <v>57</v>
      </c>
      <c r="I263">
        <v>0.77759999999999996</v>
      </c>
      <c r="J263">
        <v>0.76659999999999995</v>
      </c>
      <c r="K263">
        <v>1.6868000000000001</v>
      </c>
      <c r="L263">
        <v>0.55349999999999999</v>
      </c>
    </row>
    <row r="264" spans="1:12">
      <c r="A264" t="s">
        <v>556</v>
      </c>
      <c r="B264">
        <v>0.1</v>
      </c>
      <c r="C264">
        <v>128</v>
      </c>
      <c r="D264" t="b">
        <v>0</v>
      </c>
      <c r="E264" t="s">
        <v>547</v>
      </c>
      <c r="F264" t="s">
        <v>532</v>
      </c>
      <c r="G264" t="s">
        <v>4</v>
      </c>
      <c r="H264">
        <v>56</v>
      </c>
      <c r="I264">
        <v>0.72</v>
      </c>
      <c r="J264">
        <v>0.79100000000000004</v>
      </c>
      <c r="K264">
        <v>1.7188000000000001</v>
      </c>
      <c r="L264">
        <v>0.54749999999999999</v>
      </c>
    </row>
    <row r="265" spans="1:12">
      <c r="A265" t="s">
        <v>556</v>
      </c>
      <c r="B265">
        <v>0.1</v>
      </c>
      <c r="C265">
        <v>128</v>
      </c>
      <c r="D265" t="b">
        <v>0</v>
      </c>
      <c r="E265" t="s">
        <v>547</v>
      </c>
      <c r="F265" t="s">
        <v>532</v>
      </c>
      <c r="G265" t="s">
        <v>5</v>
      </c>
      <c r="H265">
        <v>56</v>
      </c>
      <c r="I265">
        <v>0.67620000000000002</v>
      </c>
      <c r="J265">
        <v>0.80330000000000001</v>
      </c>
      <c r="K265">
        <v>1.742</v>
      </c>
      <c r="L265">
        <v>0.55300000000000005</v>
      </c>
    </row>
    <row r="266" spans="1:12">
      <c r="A266" t="s">
        <v>556</v>
      </c>
      <c r="B266">
        <v>0.1</v>
      </c>
      <c r="C266">
        <v>256</v>
      </c>
      <c r="D266" t="b">
        <v>0</v>
      </c>
      <c r="E266" t="s">
        <v>548</v>
      </c>
      <c r="F266" t="s">
        <v>531</v>
      </c>
      <c r="G266" t="s">
        <v>0</v>
      </c>
      <c r="H266">
        <v>117</v>
      </c>
      <c r="I266">
        <v>0.23910000000000001</v>
      </c>
      <c r="J266">
        <v>0.93089999999999995</v>
      </c>
      <c r="K266">
        <v>2.0981000000000001</v>
      </c>
      <c r="L266">
        <v>0.51849999999999996</v>
      </c>
    </row>
    <row r="267" spans="1:12">
      <c r="A267" t="s">
        <v>556</v>
      </c>
      <c r="B267">
        <v>0.1</v>
      </c>
      <c r="C267">
        <v>256</v>
      </c>
      <c r="D267" t="b">
        <v>0</v>
      </c>
      <c r="E267" t="s">
        <v>548</v>
      </c>
      <c r="F267" t="s">
        <v>531</v>
      </c>
      <c r="G267" t="s">
        <v>1</v>
      </c>
      <c r="H267">
        <v>116</v>
      </c>
      <c r="I267">
        <v>0.18840000000000001</v>
      </c>
      <c r="J267">
        <v>0.94330000000000003</v>
      </c>
      <c r="K267">
        <v>2.2235999999999998</v>
      </c>
      <c r="L267">
        <v>0.52200000000000002</v>
      </c>
    </row>
    <row r="268" spans="1:12">
      <c r="A268" t="s">
        <v>556</v>
      </c>
      <c r="B268">
        <v>0.1</v>
      </c>
      <c r="C268">
        <v>256</v>
      </c>
      <c r="D268" t="b">
        <v>0</v>
      </c>
      <c r="E268" t="s">
        <v>548</v>
      </c>
      <c r="F268" t="s">
        <v>531</v>
      </c>
      <c r="G268" t="s">
        <v>2</v>
      </c>
      <c r="H268">
        <v>117</v>
      </c>
      <c r="I268">
        <v>0.18160000000000001</v>
      </c>
      <c r="J268">
        <v>0.94569999999999999</v>
      </c>
      <c r="K268">
        <v>2.1534</v>
      </c>
      <c r="L268">
        <v>0.52349999999999997</v>
      </c>
    </row>
    <row r="269" spans="1:12">
      <c r="A269" t="s">
        <v>556</v>
      </c>
      <c r="B269">
        <v>0.1</v>
      </c>
      <c r="C269">
        <v>256</v>
      </c>
      <c r="D269" t="b">
        <v>0</v>
      </c>
      <c r="E269" t="s">
        <v>548</v>
      </c>
      <c r="F269" t="s">
        <v>531</v>
      </c>
      <c r="G269" t="s">
        <v>3</v>
      </c>
      <c r="H269">
        <v>116</v>
      </c>
      <c r="I269">
        <v>0.1731</v>
      </c>
      <c r="J269">
        <v>0.9496</v>
      </c>
      <c r="K269">
        <v>2.1913</v>
      </c>
      <c r="L269">
        <v>0.53149999999999997</v>
      </c>
    </row>
    <row r="270" spans="1:12">
      <c r="A270" t="s">
        <v>556</v>
      </c>
      <c r="B270">
        <v>0.1</v>
      </c>
      <c r="C270">
        <v>256</v>
      </c>
      <c r="D270" t="b">
        <v>0</v>
      </c>
      <c r="E270" t="s">
        <v>548</v>
      </c>
      <c r="F270" t="s">
        <v>531</v>
      </c>
      <c r="G270" t="s">
        <v>4</v>
      </c>
      <c r="H270">
        <v>118</v>
      </c>
      <c r="I270">
        <v>0.13469999999999999</v>
      </c>
      <c r="J270">
        <v>0.95960000000000001</v>
      </c>
      <c r="K270">
        <v>2.2364000000000002</v>
      </c>
      <c r="L270">
        <v>0.52849999999999997</v>
      </c>
    </row>
    <row r="271" spans="1:12">
      <c r="A271" t="s">
        <v>556</v>
      </c>
      <c r="B271">
        <v>0.1</v>
      </c>
      <c r="C271">
        <v>256</v>
      </c>
      <c r="D271" t="b">
        <v>0</v>
      </c>
      <c r="E271" t="s">
        <v>548</v>
      </c>
      <c r="F271" t="s">
        <v>531</v>
      </c>
      <c r="G271" t="s">
        <v>5</v>
      </c>
      <c r="H271">
        <v>117</v>
      </c>
      <c r="I271">
        <v>0.13550000000000001</v>
      </c>
      <c r="J271">
        <v>0.96130000000000004</v>
      </c>
      <c r="K271">
        <v>2.3530000000000002</v>
      </c>
      <c r="L271">
        <v>0.51149999999999995</v>
      </c>
    </row>
    <row r="272" spans="1:12">
      <c r="A272" t="s">
        <v>556</v>
      </c>
      <c r="B272">
        <v>0.1</v>
      </c>
      <c r="C272">
        <v>256</v>
      </c>
      <c r="D272" t="b">
        <v>0</v>
      </c>
      <c r="E272" t="s">
        <v>548</v>
      </c>
      <c r="F272" t="s">
        <v>532</v>
      </c>
      <c r="G272" t="s">
        <v>0</v>
      </c>
      <c r="H272">
        <v>118</v>
      </c>
      <c r="I272">
        <v>0.74850000000000005</v>
      </c>
      <c r="J272">
        <v>0.77480000000000004</v>
      </c>
      <c r="K272">
        <v>1.8027</v>
      </c>
      <c r="L272">
        <v>0.54300000000000004</v>
      </c>
    </row>
    <row r="273" spans="1:12">
      <c r="A273" t="s">
        <v>556</v>
      </c>
      <c r="B273">
        <v>0.1</v>
      </c>
      <c r="C273">
        <v>256</v>
      </c>
      <c r="D273" t="b">
        <v>0</v>
      </c>
      <c r="E273" t="s">
        <v>548</v>
      </c>
      <c r="F273" t="s">
        <v>532</v>
      </c>
      <c r="G273" t="s">
        <v>1</v>
      </c>
      <c r="H273">
        <v>119</v>
      </c>
      <c r="I273">
        <v>0.67530000000000001</v>
      </c>
      <c r="J273">
        <v>0.79910000000000003</v>
      </c>
      <c r="K273">
        <v>1.8344</v>
      </c>
      <c r="L273">
        <v>0.53300000000000003</v>
      </c>
    </row>
    <row r="274" spans="1:12">
      <c r="A274" t="s">
        <v>556</v>
      </c>
      <c r="B274">
        <v>0.1</v>
      </c>
      <c r="C274">
        <v>256</v>
      </c>
      <c r="D274" t="b">
        <v>0</v>
      </c>
      <c r="E274" t="s">
        <v>548</v>
      </c>
      <c r="F274" t="s">
        <v>532</v>
      </c>
      <c r="G274" t="s">
        <v>2</v>
      </c>
      <c r="H274">
        <v>120</v>
      </c>
      <c r="I274">
        <v>0.61050000000000004</v>
      </c>
      <c r="J274">
        <v>0.81730000000000003</v>
      </c>
      <c r="K274">
        <v>1.8482000000000001</v>
      </c>
      <c r="L274">
        <v>0.51949999999999996</v>
      </c>
    </row>
    <row r="275" spans="1:12">
      <c r="A275" t="s">
        <v>556</v>
      </c>
      <c r="B275">
        <v>0.1</v>
      </c>
      <c r="C275">
        <v>256</v>
      </c>
      <c r="D275" t="b">
        <v>0</v>
      </c>
      <c r="E275" t="s">
        <v>548</v>
      </c>
      <c r="F275" t="s">
        <v>532</v>
      </c>
      <c r="G275" t="s">
        <v>3</v>
      </c>
      <c r="H275">
        <v>117</v>
      </c>
      <c r="I275">
        <v>0.53100000000000003</v>
      </c>
      <c r="J275">
        <v>0.83850000000000002</v>
      </c>
      <c r="K275">
        <v>1.8963000000000001</v>
      </c>
      <c r="L275">
        <v>0.51549999999999996</v>
      </c>
    </row>
    <row r="276" spans="1:12">
      <c r="A276" t="s">
        <v>556</v>
      </c>
      <c r="B276">
        <v>0.1</v>
      </c>
      <c r="C276">
        <v>256</v>
      </c>
      <c r="D276" t="b">
        <v>0</v>
      </c>
      <c r="E276" t="s">
        <v>548</v>
      </c>
      <c r="F276" t="s">
        <v>532</v>
      </c>
      <c r="G276" t="s">
        <v>4</v>
      </c>
      <c r="H276">
        <v>120</v>
      </c>
      <c r="I276">
        <v>0.48820000000000002</v>
      </c>
      <c r="J276">
        <v>0.84960000000000002</v>
      </c>
      <c r="K276">
        <v>1.9028</v>
      </c>
      <c r="L276">
        <v>0.53</v>
      </c>
    </row>
    <row r="277" spans="1:12">
      <c r="A277" t="s">
        <v>556</v>
      </c>
      <c r="B277">
        <v>0.1</v>
      </c>
      <c r="C277">
        <v>256</v>
      </c>
      <c r="D277" t="b">
        <v>0</v>
      </c>
      <c r="E277" t="s">
        <v>548</v>
      </c>
      <c r="F277" t="s">
        <v>532</v>
      </c>
      <c r="G277" t="s">
        <v>5</v>
      </c>
      <c r="H277">
        <v>117</v>
      </c>
      <c r="I277">
        <v>0.43869999999999998</v>
      </c>
      <c r="J277">
        <v>0.87170000000000003</v>
      </c>
      <c r="K277">
        <v>1.8755999999999999</v>
      </c>
      <c r="L277">
        <v>0.54749999999999999</v>
      </c>
    </row>
    <row r="278" spans="1:12">
      <c r="A278" t="s">
        <v>556</v>
      </c>
      <c r="B278">
        <v>0.1</v>
      </c>
      <c r="C278">
        <v>256</v>
      </c>
      <c r="D278" t="b">
        <v>0</v>
      </c>
      <c r="E278" t="s">
        <v>547</v>
      </c>
      <c r="F278" t="s">
        <v>531</v>
      </c>
      <c r="G278" t="s">
        <v>0</v>
      </c>
      <c r="H278">
        <v>116</v>
      </c>
      <c r="I278">
        <v>0.26860000000000001</v>
      </c>
      <c r="J278">
        <v>0.91930000000000001</v>
      </c>
      <c r="K278">
        <v>2.0640000000000001</v>
      </c>
      <c r="L278">
        <v>0.53200000000000003</v>
      </c>
    </row>
    <row r="279" spans="1:12">
      <c r="A279" t="s">
        <v>556</v>
      </c>
      <c r="B279">
        <v>0.1</v>
      </c>
      <c r="C279">
        <v>256</v>
      </c>
      <c r="D279" t="b">
        <v>0</v>
      </c>
      <c r="E279" t="s">
        <v>547</v>
      </c>
      <c r="F279" t="s">
        <v>531</v>
      </c>
      <c r="G279" t="s">
        <v>1</v>
      </c>
      <c r="H279">
        <v>116</v>
      </c>
      <c r="I279">
        <v>0.23089999999999999</v>
      </c>
      <c r="J279">
        <v>0.93269999999999997</v>
      </c>
      <c r="K279">
        <v>2.1202999999999999</v>
      </c>
      <c r="L279">
        <v>0.52700000000000002</v>
      </c>
    </row>
    <row r="280" spans="1:12">
      <c r="A280" t="s">
        <v>556</v>
      </c>
      <c r="B280">
        <v>0.1</v>
      </c>
      <c r="C280">
        <v>256</v>
      </c>
      <c r="D280" t="b">
        <v>0</v>
      </c>
      <c r="E280" t="s">
        <v>547</v>
      </c>
      <c r="F280" t="s">
        <v>531</v>
      </c>
      <c r="G280" t="s">
        <v>2</v>
      </c>
      <c r="H280">
        <v>116</v>
      </c>
      <c r="I280">
        <v>0.193</v>
      </c>
      <c r="J280">
        <v>0.94340000000000002</v>
      </c>
      <c r="K280">
        <v>2.1554000000000002</v>
      </c>
      <c r="L280">
        <v>0.51949999999999996</v>
      </c>
    </row>
    <row r="281" spans="1:12">
      <c r="A281" t="s">
        <v>556</v>
      </c>
      <c r="B281">
        <v>0.1</v>
      </c>
      <c r="C281">
        <v>256</v>
      </c>
      <c r="D281" t="b">
        <v>0</v>
      </c>
      <c r="E281" t="s">
        <v>547</v>
      </c>
      <c r="F281" t="s">
        <v>531</v>
      </c>
      <c r="G281" t="s">
        <v>3</v>
      </c>
      <c r="H281">
        <v>116</v>
      </c>
      <c r="I281">
        <v>0.17380000000000001</v>
      </c>
      <c r="J281">
        <v>0.94779999999999998</v>
      </c>
      <c r="K281">
        <v>2.1892999999999998</v>
      </c>
      <c r="L281">
        <v>0.52400000000000002</v>
      </c>
    </row>
    <row r="282" spans="1:12">
      <c r="A282" t="s">
        <v>556</v>
      </c>
      <c r="B282">
        <v>0.1</v>
      </c>
      <c r="C282">
        <v>256</v>
      </c>
      <c r="D282" t="b">
        <v>0</v>
      </c>
      <c r="E282" t="s">
        <v>547</v>
      </c>
      <c r="F282" t="s">
        <v>531</v>
      </c>
      <c r="G282" t="s">
        <v>4</v>
      </c>
      <c r="H282">
        <v>116</v>
      </c>
      <c r="I282">
        <v>0.1578</v>
      </c>
      <c r="J282">
        <v>0.95269999999999999</v>
      </c>
      <c r="K282">
        <v>2.2206000000000001</v>
      </c>
      <c r="L282">
        <v>0.51849999999999996</v>
      </c>
    </row>
    <row r="283" spans="1:12">
      <c r="A283" t="s">
        <v>556</v>
      </c>
      <c r="B283">
        <v>0.1</v>
      </c>
      <c r="C283">
        <v>256</v>
      </c>
      <c r="D283" t="b">
        <v>0</v>
      </c>
      <c r="E283" t="s">
        <v>547</v>
      </c>
      <c r="F283" t="s">
        <v>531</v>
      </c>
      <c r="G283" t="s">
        <v>5</v>
      </c>
      <c r="H283">
        <v>116</v>
      </c>
      <c r="I283">
        <v>0.14480000000000001</v>
      </c>
      <c r="J283">
        <v>0.9556</v>
      </c>
      <c r="K283">
        <v>2.3123</v>
      </c>
      <c r="L283">
        <v>0.52500000000000002</v>
      </c>
    </row>
    <row r="284" spans="1:12">
      <c r="A284" t="s">
        <v>556</v>
      </c>
      <c r="B284">
        <v>0.1</v>
      </c>
      <c r="C284">
        <v>256</v>
      </c>
      <c r="D284" t="b">
        <v>0</v>
      </c>
      <c r="E284" t="s">
        <v>547</v>
      </c>
      <c r="F284" t="s">
        <v>532</v>
      </c>
      <c r="G284" t="s">
        <v>0</v>
      </c>
      <c r="H284">
        <v>129</v>
      </c>
      <c r="I284">
        <v>0.9204</v>
      </c>
      <c r="J284">
        <v>0.72640000000000005</v>
      </c>
      <c r="K284">
        <v>1.7137</v>
      </c>
      <c r="L284">
        <v>0.55149999999999999</v>
      </c>
    </row>
    <row r="285" spans="1:12">
      <c r="A285" t="s">
        <v>556</v>
      </c>
      <c r="B285">
        <v>0.1</v>
      </c>
      <c r="C285">
        <v>256</v>
      </c>
      <c r="D285" t="b">
        <v>0</v>
      </c>
      <c r="E285" t="s">
        <v>547</v>
      </c>
      <c r="F285" t="s">
        <v>532</v>
      </c>
      <c r="G285" t="s">
        <v>1</v>
      </c>
      <c r="H285">
        <v>165</v>
      </c>
      <c r="I285">
        <v>0.8286</v>
      </c>
      <c r="J285">
        <v>0.75260000000000005</v>
      </c>
      <c r="K285">
        <v>1.6798</v>
      </c>
      <c r="L285">
        <v>0.54849999999999999</v>
      </c>
    </row>
    <row r="286" spans="1:12">
      <c r="A286" t="s">
        <v>556</v>
      </c>
      <c r="B286">
        <v>0.1</v>
      </c>
      <c r="C286">
        <v>256</v>
      </c>
      <c r="D286" t="b">
        <v>0</v>
      </c>
      <c r="E286" t="s">
        <v>547</v>
      </c>
      <c r="F286" t="s">
        <v>532</v>
      </c>
      <c r="G286" t="s">
        <v>2</v>
      </c>
      <c r="H286">
        <v>146</v>
      </c>
      <c r="I286">
        <v>0.75190000000000001</v>
      </c>
      <c r="J286">
        <v>0.78390000000000004</v>
      </c>
      <c r="K286">
        <v>1.7270000000000001</v>
      </c>
      <c r="L286">
        <v>0.54600000000000004</v>
      </c>
    </row>
    <row r="287" spans="1:12">
      <c r="A287" t="s">
        <v>556</v>
      </c>
      <c r="B287">
        <v>0.1</v>
      </c>
      <c r="C287">
        <v>256</v>
      </c>
      <c r="D287" t="b">
        <v>0</v>
      </c>
      <c r="E287" t="s">
        <v>547</v>
      </c>
      <c r="F287" t="s">
        <v>532</v>
      </c>
      <c r="G287" t="s">
        <v>3</v>
      </c>
      <c r="H287">
        <v>127</v>
      </c>
      <c r="I287">
        <v>0.68810000000000004</v>
      </c>
      <c r="J287">
        <v>0.79600000000000004</v>
      </c>
      <c r="K287">
        <v>1.7422</v>
      </c>
      <c r="L287">
        <v>0.54949999999999999</v>
      </c>
    </row>
    <row r="288" spans="1:12">
      <c r="A288" t="s">
        <v>556</v>
      </c>
      <c r="B288">
        <v>0.1</v>
      </c>
      <c r="C288">
        <v>256</v>
      </c>
      <c r="D288" t="b">
        <v>0</v>
      </c>
      <c r="E288" t="s">
        <v>547</v>
      </c>
      <c r="F288" t="s">
        <v>532</v>
      </c>
      <c r="G288" t="s">
        <v>4</v>
      </c>
      <c r="H288">
        <v>134</v>
      </c>
      <c r="I288">
        <v>0.61909999999999998</v>
      </c>
      <c r="J288">
        <v>0.81740000000000002</v>
      </c>
      <c r="K288">
        <v>1.7210000000000001</v>
      </c>
      <c r="L288">
        <v>0.5605</v>
      </c>
    </row>
    <row r="289" spans="1:12">
      <c r="A289" t="s">
        <v>556</v>
      </c>
      <c r="B289">
        <v>0.1</v>
      </c>
      <c r="C289">
        <v>256</v>
      </c>
      <c r="D289" t="b">
        <v>0</v>
      </c>
      <c r="E289" t="s">
        <v>547</v>
      </c>
      <c r="F289" t="s">
        <v>532</v>
      </c>
      <c r="G289" t="s">
        <v>5</v>
      </c>
      <c r="H289">
        <v>122</v>
      </c>
      <c r="I289">
        <v>0.57799999999999996</v>
      </c>
      <c r="J289">
        <v>0.82909999999999995</v>
      </c>
      <c r="K289">
        <v>1.8250999999999999</v>
      </c>
      <c r="L289">
        <v>0.54800000000000004</v>
      </c>
    </row>
    <row r="290" spans="1:12">
      <c r="A290" t="s">
        <v>556</v>
      </c>
      <c r="B290">
        <v>0.3</v>
      </c>
      <c r="C290">
        <v>64</v>
      </c>
      <c r="D290" t="b">
        <v>0</v>
      </c>
      <c r="E290" t="s">
        <v>548</v>
      </c>
      <c r="F290" t="s">
        <v>531</v>
      </c>
      <c r="G290" t="s">
        <v>0</v>
      </c>
      <c r="H290">
        <v>35</v>
      </c>
      <c r="I290">
        <v>0.38450000000000001</v>
      </c>
      <c r="J290">
        <v>0.89180000000000004</v>
      </c>
      <c r="K290">
        <v>2.1171000000000002</v>
      </c>
      <c r="L290">
        <v>0.51500000000000001</v>
      </c>
    </row>
    <row r="291" spans="1:12">
      <c r="A291" t="s">
        <v>556</v>
      </c>
      <c r="B291">
        <v>0.3</v>
      </c>
      <c r="C291">
        <v>64</v>
      </c>
      <c r="D291" t="b">
        <v>0</v>
      </c>
      <c r="E291" t="s">
        <v>548</v>
      </c>
      <c r="F291" t="s">
        <v>531</v>
      </c>
      <c r="G291" t="s">
        <v>1</v>
      </c>
      <c r="H291">
        <v>34</v>
      </c>
      <c r="I291">
        <v>0.33500000000000002</v>
      </c>
      <c r="J291">
        <v>0.90249999999999997</v>
      </c>
      <c r="K291">
        <v>2.2667000000000002</v>
      </c>
      <c r="L291">
        <v>0.4995</v>
      </c>
    </row>
    <row r="292" spans="1:12">
      <c r="A292" t="s">
        <v>556</v>
      </c>
      <c r="B292">
        <v>0.3</v>
      </c>
      <c r="C292">
        <v>64</v>
      </c>
      <c r="D292" t="b">
        <v>0</v>
      </c>
      <c r="E292" t="s">
        <v>548</v>
      </c>
      <c r="F292" t="s">
        <v>531</v>
      </c>
      <c r="G292" t="s">
        <v>2</v>
      </c>
      <c r="H292">
        <v>34</v>
      </c>
      <c r="I292">
        <v>0.29139999999999999</v>
      </c>
      <c r="J292">
        <v>0.91490000000000005</v>
      </c>
      <c r="K292">
        <v>2.2854999999999999</v>
      </c>
      <c r="L292">
        <v>0.50900000000000001</v>
      </c>
    </row>
    <row r="293" spans="1:12">
      <c r="A293" t="s">
        <v>556</v>
      </c>
      <c r="B293">
        <v>0.3</v>
      </c>
      <c r="C293">
        <v>64</v>
      </c>
      <c r="D293" t="b">
        <v>0</v>
      </c>
      <c r="E293" t="s">
        <v>548</v>
      </c>
      <c r="F293" t="s">
        <v>531</v>
      </c>
      <c r="G293" t="s">
        <v>3</v>
      </c>
      <c r="H293">
        <v>35</v>
      </c>
      <c r="I293">
        <v>0.25119999999999998</v>
      </c>
      <c r="J293">
        <v>0.9284</v>
      </c>
      <c r="K293">
        <v>2.3551000000000002</v>
      </c>
      <c r="L293">
        <v>0.50949999999999995</v>
      </c>
    </row>
    <row r="294" spans="1:12">
      <c r="A294" t="s">
        <v>556</v>
      </c>
      <c r="B294">
        <v>0.3</v>
      </c>
      <c r="C294">
        <v>64</v>
      </c>
      <c r="D294" t="b">
        <v>0</v>
      </c>
      <c r="E294" t="s">
        <v>548</v>
      </c>
      <c r="F294" t="s">
        <v>531</v>
      </c>
      <c r="G294" t="s">
        <v>4</v>
      </c>
      <c r="H294">
        <v>34</v>
      </c>
      <c r="I294">
        <v>0.23319999999999999</v>
      </c>
      <c r="J294">
        <v>0.93300000000000005</v>
      </c>
      <c r="K294">
        <v>2.4268999999999998</v>
      </c>
      <c r="L294">
        <v>0.49199999999999999</v>
      </c>
    </row>
    <row r="295" spans="1:12">
      <c r="A295" t="s">
        <v>556</v>
      </c>
      <c r="B295">
        <v>0.3</v>
      </c>
      <c r="C295">
        <v>64</v>
      </c>
      <c r="D295" t="b">
        <v>0</v>
      </c>
      <c r="E295" t="s">
        <v>548</v>
      </c>
      <c r="F295" t="s">
        <v>531</v>
      </c>
      <c r="G295" t="s">
        <v>5</v>
      </c>
      <c r="H295">
        <v>36</v>
      </c>
      <c r="I295">
        <v>0.22189999999999999</v>
      </c>
      <c r="J295">
        <v>0.93859999999999999</v>
      </c>
      <c r="K295">
        <v>2.3974000000000002</v>
      </c>
      <c r="L295">
        <v>0.503</v>
      </c>
    </row>
    <row r="296" spans="1:12">
      <c r="A296" t="s">
        <v>556</v>
      </c>
      <c r="B296">
        <v>0.3</v>
      </c>
      <c r="C296">
        <v>64</v>
      </c>
      <c r="D296" t="b">
        <v>0</v>
      </c>
      <c r="E296" t="s">
        <v>548</v>
      </c>
      <c r="F296" t="s">
        <v>532</v>
      </c>
      <c r="G296" t="s">
        <v>0</v>
      </c>
      <c r="H296">
        <v>34</v>
      </c>
      <c r="I296">
        <v>1.0279</v>
      </c>
      <c r="J296">
        <v>0.69399999999999995</v>
      </c>
      <c r="K296">
        <v>1.8152999999999999</v>
      </c>
      <c r="L296">
        <v>0.51249999999999996</v>
      </c>
    </row>
    <row r="297" spans="1:12">
      <c r="A297" t="s">
        <v>556</v>
      </c>
      <c r="B297">
        <v>0.3</v>
      </c>
      <c r="C297">
        <v>64</v>
      </c>
      <c r="D297" t="b">
        <v>0</v>
      </c>
      <c r="E297" t="s">
        <v>548</v>
      </c>
      <c r="F297" t="s">
        <v>532</v>
      </c>
      <c r="G297" t="s">
        <v>1</v>
      </c>
      <c r="H297">
        <v>35</v>
      </c>
      <c r="I297">
        <v>0.96550000000000002</v>
      </c>
      <c r="J297">
        <v>0.70899999999999996</v>
      </c>
      <c r="K297">
        <v>1.8015000000000001</v>
      </c>
      <c r="L297">
        <v>0.52149999999999996</v>
      </c>
    </row>
    <row r="298" spans="1:12">
      <c r="A298" t="s">
        <v>556</v>
      </c>
      <c r="B298">
        <v>0.3</v>
      </c>
      <c r="C298">
        <v>64</v>
      </c>
      <c r="D298" t="b">
        <v>0</v>
      </c>
      <c r="E298" t="s">
        <v>548</v>
      </c>
      <c r="F298" t="s">
        <v>532</v>
      </c>
      <c r="G298" t="s">
        <v>2</v>
      </c>
      <c r="H298">
        <v>35</v>
      </c>
      <c r="I298">
        <v>0.87649999999999995</v>
      </c>
      <c r="J298">
        <v>0.73919999999999997</v>
      </c>
      <c r="K298">
        <v>1.8580000000000001</v>
      </c>
      <c r="L298">
        <v>0.52349999999999997</v>
      </c>
    </row>
    <row r="299" spans="1:12">
      <c r="A299" t="s">
        <v>556</v>
      </c>
      <c r="B299">
        <v>0.3</v>
      </c>
      <c r="C299">
        <v>64</v>
      </c>
      <c r="D299" t="b">
        <v>0</v>
      </c>
      <c r="E299" t="s">
        <v>548</v>
      </c>
      <c r="F299" t="s">
        <v>532</v>
      </c>
      <c r="G299" t="s">
        <v>3</v>
      </c>
      <c r="H299">
        <v>34</v>
      </c>
      <c r="I299">
        <v>0.82520000000000004</v>
      </c>
      <c r="J299">
        <v>0.75619999999999998</v>
      </c>
      <c r="K299">
        <v>1.8506</v>
      </c>
      <c r="L299">
        <v>0.53249999999999997</v>
      </c>
    </row>
    <row r="300" spans="1:12">
      <c r="A300" t="s">
        <v>556</v>
      </c>
      <c r="B300">
        <v>0.3</v>
      </c>
      <c r="C300">
        <v>64</v>
      </c>
      <c r="D300" t="b">
        <v>0</v>
      </c>
      <c r="E300" t="s">
        <v>548</v>
      </c>
      <c r="F300" t="s">
        <v>532</v>
      </c>
      <c r="G300" t="s">
        <v>4</v>
      </c>
      <c r="H300">
        <v>34</v>
      </c>
      <c r="I300">
        <v>0.76</v>
      </c>
      <c r="J300">
        <v>0.77290000000000003</v>
      </c>
      <c r="K300">
        <v>1.8594999999999999</v>
      </c>
      <c r="L300">
        <v>0.53149999999999997</v>
      </c>
    </row>
    <row r="301" spans="1:12">
      <c r="A301" t="s">
        <v>556</v>
      </c>
      <c r="B301">
        <v>0.3</v>
      </c>
      <c r="C301">
        <v>64</v>
      </c>
      <c r="D301" t="b">
        <v>0</v>
      </c>
      <c r="E301" t="s">
        <v>548</v>
      </c>
      <c r="F301" t="s">
        <v>532</v>
      </c>
      <c r="G301" t="s">
        <v>5</v>
      </c>
      <c r="H301">
        <v>35</v>
      </c>
      <c r="I301">
        <v>0.70730000000000004</v>
      </c>
      <c r="J301">
        <v>0.78839999999999999</v>
      </c>
      <c r="K301">
        <v>1.8136000000000001</v>
      </c>
      <c r="L301">
        <v>0.54400000000000004</v>
      </c>
    </row>
    <row r="302" spans="1:12">
      <c r="A302" t="s">
        <v>556</v>
      </c>
      <c r="B302">
        <v>0.3</v>
      </c>
      <c r="C302">
        <v>64</v>
      </c>
      <c r="D302" t="b">
        <v>0</v>
      </c>
      <c r="E302" t="s">
        <v>547</v>
      </c>
      <c r="F302" t="s">
        <v>531</v>
      </c>
      <c r="G302" t="s">
        <v>0</v>
      </c>
      <c r="H302">
        <v>36</v>
      </c>
      <c r="I302">
        <v>0.43580000000000002</v>
      </c>
      <c r="J302">
        <v>0.88080000000000003</v>
      </c>
      <c r="K302">
        <v>1.9365000000000001</v>
      </c>
      <c r="L302">
        <v>0.52500000000000002</v>
      </c>
    </row>
    <row r="303" spans="1:12">
      <c r="A303" t="s">
        <v>556</v>
      </c>
      <c r="B303">
        <v>0.3</v>
      </c>
      <c r="C303">
        <v>64</v>
      </c>
      <c r="D303" t="b">
        <v>0</v>
      </c>
      <c r="E303" t="s">
        <v>547</v>
      </c>
      <c r="F303" t="s">
        <v>531</v>
      </c>
      <c r="G303" t="s">
        <v>1</v>
      </c>
      <c r="H303">
        <v>35</v>
      </c>
      <c r="I303">
        <v>0.36449999999999999</v>
      </c>
      <c r="J303">
        <v>0.89900000000000002</v>
      </c>
      <c r="K303">
        <v>2.0186999999999999</v>
      </c>
      <c r="L303">
        <v>0.52</v>
      </c>
    </row>
    <row r="304" spans="1:12">
      <c r="A304" t="s">
        <v>556</v>
      </c>
      <c r="B304">
        <v>0.3</v>
      </c>
      <c r="C304">
        <v>64</v>
      </c>
      <c r="D304" t="b">
        <v>0</v>
      </c>
      <c r="E304" t="s">
        <v>547</v>
      </c>
      <c r="F304" t="s">
        <v>531</v>
      </c>
      <c r="G304" t="s">
        <v>2</v>
      </c>
      <c r="H304">
        <v>36</v>
      </c>
      <c r="I304">
        <v>0.31680000000000003</v>
      </c>
      <c r="J304">
        <v>0.9143</v>
      </c>
      <c r="K304">
        <v>2.0871</v>
      </c>
      <c r="L304">
        <v>0.52200000000000002</v>
      </c>
    </row>
    <row r="305" spans="1:12">
      <c r="A305" t="s">
        <v>556</v>
      </c>
      <c r="B305">
        <v>0.3</v>
      </c>
      <c r="C305">
        <v>64</v>
      </c>
      <c r="D305" t="b">
        <v>0</v>
      </c>
      <c r="E305" t="s">
        <v>547</v>
      </c>
      <c r="F305" t="s">
        <v>531</v>
      </c>
      <c r="G305" t="s">
        <v>3</v>
      </c>
      <c r="H305">
        <v>36</v>
      </c>
      <c r="I305">
        <v>0.2903</v>
      </c>
      <c r="J305">
        <v>0.92210000000000003</v>
      </c>
      <c r="K305">
        <v>2.1440999999999999</v>
      </c>
      <c r="L305">
        <v>0.52449999999999997</v>
      </c>
    </row>
    <row r="306" spans="1:12">
      <c r="A306" t="s">
        <v>556</v>
      </c>
      <c r="B306">
        <v>0.3</v>
      </c>
      <c r="C306">
        <v>64</v>
      </c>
      <c r="D306" t="b">
        <v>0</v>
      </c>
      <c r="E306" t="s">
        <v>547</v>
      </c>
      <c r="F306" t="s">
        <v>531</v>
      </c>
      <c r="G306" t="s">
        <v>4</v>
      </c>
      <c r="H306">
        <v>39</v>
      </c>
      <c r="I306">
        <v>0.25690000000000002</v>
      </c>
      <c r="J306">
        <v>0.93030000000000002</v>
      </c>
      <c r="K306">
        <v>2.2242000000000002</v>
      </c>
      <c r="L306">
        <v>0.51100000000000001</v>
      </c>
    </row>
    <row r="307" spans="1:12">
      <c r="A307" t="s">
        <v>556</v>
      </c>
      <c r="B307">
        <v>0.3</v>
      </c>
      <c r="C307">
        <v>64</v>
      </c>
      <c r="D307" t="b">
        <v>0</v>
      </c>
      <c r="E307" t="s">
        <v>547</v>
      </c>
      <c r="F307" t="s">
        <v>531</v>
      </c>
      <c r="G307" t="s">
        <v>5</v>
      </c>
      <c r="H307">
        <v>34</v>
      </c>
      <c r="I307">
        <v>0.22209999999999999</v>
      </c>
      <c r="J307">
        <v>0.93910000000000005</v>
      </c>
      <c r="K307">
        <v>2.3071000000000002</v>
      </c>
      <c r="L307">
        <v>0.50949999999999995</v>
      </c>
    </row>
    <row r="308" spans="1:12">
      <c r="A308" t="s">
        <v>556</v>
      </c>
      <c r="B308">
        <v>0.3</v>
      </c>
      <c r="C308">
        <v>64</v>
      </c>
      <c r="D308" t="b">
        <v>0</v>
      </c>
      <c r="E308" t="s">
        <v>547</v>
      </c>
      <c r="F308" t="s">
        <v>532</v>
      </c>
      <c r="G308" t="s">
        <v>0</v>
      </c>
      <c r="H308">
        <v>37</v>
      </c>
      <c r="I308">
        <v>1.2625999999999999</v>
      </c>
      <c r="J308">
        <v>0.62790000000000001</v>
      </c>
      <c r="K308">
        <v>1.724</v>
      </c>
      <c r="L308">
        <v>0.54049999999999998</v>
      </c>
    </row>
    <row r="309" spans="1:12">
      <c r="A309" t="s">
        <v>556</v>
      </c>
      <c r="B309">
        <v>0.3</v>
      </c>
      <c r="C309">
        <v>64</v>
      </c>
      <c r="D309" t="b">
        <v>0</v>
      </c>
      <c r="E309" t="s">
        <v>547</v>
      </c>
      <c r="F309" t="s">
        <v>532</v>
      </c>
      <c r="G309" t="s">
        <v>1</v>
      </c>
      <c r="H309">
        <v>33</v>
      </c>
      <c r="I309">
        <v>1.1728000000000001</v>
      </c>
      <c r="J309">
        <v>0.65049999999999997</v>
      </c>
      <c r="K309">
        <v>1.6947000000000001</v>
      </c>
      <c r="L309">
        <v>0.54849999999999999</v>
      </c>
    </row>
    <row r="310" spans="1:12">
      <c r="A310" t="s">
        <v>556</v>
      </c>
      <c r="B310">
        <v>0.3</v>
      </c>
      <c r="C310">
        <v>64</v>
      </c>
      <c r="D310" t="b">
        <v>0</v>
      </c>
      <c r="E310" t="s">
        <v>547</v>
      </c>
      <c r="F310" t="s">
        <v>532</v>
      </c>
      <c r="G310" t="s">
        <v>2</v>
      </c>
      <c r="H310">
        <v>33</v>
      </c>
      <c r="I310">
        <v>1.0881000000000001</v>
      </c>
      <c r="J310">
        <v>0.68049999999999999</v>
      </c>
      <c r="K310">
        <v>1.6950000000000001</v>
      </c>
      <c r="L310">
        <v>0.55349999999999999</v>
      </c>
    </row>
    <row r="311" spans="1:12">
      <c r="A311" t="s">
        <v>556</v>
      </c>
      <c r="B311">
        <v>0.3</v>
      </c>
      <c r="C311">
        <v>64</v>
      </c>
      <c r="D311" t="b">
        <v>0</v>
      </c>
      <c r="E311" t="s">
        <v>547</v>
      </c>
      <c r="F311" t="s">
        <v>532</v>
      </c>
      <c r="G311" t="s">
        <v>3</v>
      </c>
      <c r="H311">
        <v>36</v>
      </c>
      <c r="I311">
        <v>1.0071000000000001</v>
      </c>
      <c r="J311">
        <v>0.69950000000000001</v>
      </c>
      <c r="K311">
        <v>1.7031000000000001</v>
      </c>
      <c r="L311">
        <v>0.56100000000000005</v>
      </c>
    </row>
    <row r="312" spans="1:12">
      <c r="A312" t="s">
        <v>556</v>
      </c>
      <c r="B312">
        <v>0.3</v>
      </c>
      <c r="C312">
        <v>64</v>
      </c>
      <c r="D312" t="b">
        <v>0</v>
      </c>
      <c r="E312" t="s">
        <v>547</v>
      </c>
      <c r="F312" t="s">
        <v>532</v>
      </c>
      <c r="G312" t="s">
        <v>4</v>
      </c>
      <c r="H312">
        <v>35</v>
      </c>
      <c r="I312">
        <v>0.95050000000000001</v>
      </c>
      <c r="J312">
        <v>0.71840000000000004</v>
      </c>
      <c r="K312">
        <v>1.6904999999999999</v>
      </c>
      <c r="L312">
        <v>0.55900000000000005</v>
      </c>
    </row>
    <row r="313" spans="1:12">
      <c r="A313" t="s">
        <v>556</v>
      </c>
      <c r="B313">
        <v>0.3</v>
      </c>
      <c r="C313">
        <v>64</v>
      </c>
      <c r="D313" t="b">
        <v>0</v>
      </c>
      <c r="E313" t="s">
        <v>547</v>
      </c>
      <c r="F313" t="s">
        <v>532</v>
      </c>
      <c r="G313" t="s">
        <v>5</v>
      </c>
      <c r="H313">
        <v>34</v>
      </c>
      <c r="I313">
        <v>0.8821</v>
      </c>
      <c r="J313">
        <v>0.74439999999999995</v>
      </c>
      <c r="K313">
        <v>1.6727000000000001</v>
      </c>
      <c r="L313">
        <v>0.56299999999999994</v>
      </c>
    </row>
    <row r="314" spans="1:12">
      <c r="A314" t="s">
        <v>556</v>
      </c>
      <c r="B314">
        <v>0.3</v>
      </c>
      <c r="C314">
        <v>128</v>
      </c>
      <c r="D314" t="b">
        <v>0</v>
      </c>
      <c r="E314" t="s">
        <v>548</v>
      </c>
      <c r="F314" t="s">
        <v>531</v>
      </c>
      <c r="G314" t="s">
        <v>0</v>
      </c>
      <c r="H314">
        <v>59</v>
      </c>
      <c r="I314">
        <v>0.28910000000000002</v>
      </c>
      <c r="J314">
        <v>0.91520000000000001</v>
      </c>
      <c r="K314">
        <v>2.1934</v>
      </c>
      <c r="L314">
        <v>0.50800000000000001</v>
      </c>
    </row>
    <row r="315" spans="1:12">
      <c r="A315" t="s">
        <v>556</v>
      </c>
      <c r="B315">
        <v>0.3</v>
      </c>
      <c r="C315">
        <v>128</v>
      </c>
      <c r="D315" t="b">
        <v>0</v>
      </c>
      <c r="E315" t="s">
        <v>548</v>
      </c>
      <c r="F315" t="s">
        <v>531</v>
      </c>
      <c r="G315" t="s">
        <v>1</v>
      </c>
      <c r="H315">
        <v>58</v>
      </c>
      <c r="I315">
        <v>0.24979999999999999</v>
      </c>
      <c r="J315">
        <v>0.92649999999999999</v>
      </c>
      <c r="K315">
        <v>2.2124999999999999</v>
      </c>
      <c r="L315">
        <v>0.52400000000000002</v>
      </c>
    </row>
    <row r="316" spans="1:12">
      <c r="A316" t="s">
        <v>556</v>
      </c>
      <c r="B316">
        <v>0.3</v>
      </c>
      <c r="C316">
        <v>128</v>
      </c>
      <c r="D316" t="b">
        <v>0</v>
      </c>
      <c r="E316" t="s">
        <v>548</v>
      </c>
      <c r="F316" t="s">
        <v>531</v>
      </c>
      <c r="G316" t="s">
        <v>2</v>
      </c>
      <c r="H316">
        <v>59</v>
      </c>
      <c r="I316">
        <v>0.2319</v>
      </c>
      <c r="J316">
        <v>0.93210000000000004</v>
      </c>
      <c r="K316">
        <v>2.1265000000000001</v>
      </c>
      <c r="L316">
        <v>0.53100000000000003</v>
      </c>
    </row>
    <row r="317" spans="1:12">
      <c r="A317" t="s">
        <v>556</v>
      </c>
      <c r="B317">
        <v>0.3</v>
      </c>
      <c r="C317">
        <v>128</v>
      </c>
      <c r="D317" t="b">
        <v>0</v>
      </c>
      <c r="E317" t="s">
        <v>548</v>
      </c>
      <c r="F317" t="s">
        <v>531</v>
      </c>
      <c r="G317" t="s">
        <v>3</v>
      </c>
      <c r="H317">
        <v>58</v>
      </c>
      <c r="I317">
        <v>0.20669999999999999</v>
      </c>
      <c r="J317">
        <v>0.93769999999999998</v>
      </c>
      <c r="K317">
        <v>2.2018</v>
      </c>
      <c r="L317">
        <v>0.52749999999999997</v>
      </c>
    </row>
    <row r="318" spans="1:12">
      <c r="A318" t="s">
        <v>556</v>
      </c>
      <c r="B318">
        <v>0.3</v>
      </c>
      <c r="C318">
        <v>128</v>
      </c>
      <c r="D318" t="b">
        <v>0</v>
      </c>
      <c r="E318" t="s">
        <v>548</v>
      </c>
      <c r="F318" t="s">
        <v>531</v>
      </c>
      <c r="G318" t="s">
        <v>4</v>
      </c>
      <c r="H318">
        <v>58</v>
      </c>
      <c r="I318">
        <v>0.1915</v>
      </c>
      <c r="J318">
        <v>0.94689999999999996</v>
      </c>
      <c r="K318">
        <v>2.2338</v>
      </c>
      <c r="L318">
        <v>0.51849999999999996</v>
      </c>
    </row>
    <row r="319" spans="1:12">
      <c r="A319" t="s">
        <v>556</v>
      </c>
      <c r="B319">
        <v>0.3</v>
      </c>
      <c r="C319">
        <v>128</v>
      </c>
      <c r="D319" t="b">
        <v>0</v>
      </c>
      <c r="E319" t="s">
        <v>548</v>
      </c>
      <c r="F319" t="s">
        <v>531</v>
      </c>
      <c r="G319" t="s">
        <v>5</v>
      </c>
      <c r="H319">
        <v>58</v>
      </c>
      <c r="I319">
        <v>0.17230000000000001</v>
      </c>
      <c r="J319">
        <v>0.94840000000000002</v>
      </c>
      <c r="K319">
        <v>2.2810000000000001</v>
      </c>
      <c r="L319">
        <v>0.53200000000000003</v>
      </c>
    </row>
    <row r="320" spans="1:12">
      <c r="A320" t="s">
        <v>556</v>
      </c>
      <c r="B320">
        <v>0.3</v>
      </c>
      <c r="C320">
        <v>128</v>
      </c>
      <c r="D320" t="b">
        <v>0</v>
      </c>
      <c r="E320" t="s">
        <v>548</v>
      </c>
      <c r="F320" t="s">
        <v>532</v>
      </c>
      <c r="G320" t="s">
        <v>0</v>
      </c>
      <c r="H320">
        <v>58</v>
      </c>
      <c r="I320">
        <v>0.86329999999999996</v>
      </c>
      <c r="J320">
        <v>0.74280000000000002</v>
      </c>
      <c r="K320">
        <v>1.7229000000000001</v>
      </c>
      <c r="L320">
        <v>0.55300000000000005</v>
      </c>
    </row>
    <row r="321" spans="1:12">
      <c r="A321" t="s">
        <v>556</v>
      </c>
      <c r="B321">
        <v>0.3</v>
      </c>
      <c r="C321">
        <v>128</v>
      </c>
      <c r="D321" t="b">
        <v>0</v>
      </c>
      <c r="E321" t="s">
        <v>548</v>
      </c>
      <c r="F321" t="s">
        <v>532</v>
      </c>
      <c r="G321" t="s">
        <v>1</v>
      </c>
      <c r="H321">
        <v>58</v>
      </c>
      <c r="I321">
        <v>0.79490000000000005</v>
      </c>
      <c r="J321">
        <v>0.76439999999999997</v>
      </c>
      <c r="K321">
        <v>1.7451000000000001</v>
      </c>
      <c r="L321">
        <v>0.54749999999999999</v>
      </c>
    </row>
    <row r="322" spans="1:12">
      <c r="A322" t="s">
        <v>556</v>
      </c>
      <c r="B322">
        <v>0.3</v>
      </c>
      <c r="C322">
        <v>128</v>
      </c>
      <c r="D322" t="b">
        <v>0</v>
      </c>
      <c r="E322" t="s">
        <v>548</v>
      </c>
      <c r="F322" t="s">
        <v>532</v>
      </c>
      <c r="G322" t="s">
        <v>2</v>
      </c>
      <c r="H322">
        <v>58</v>
      </c>
      <c r="I322">
        <v>0.7319</v>
      </c>
      <c r="J322">
        <v>0.77890000000000004</v>
      </c>
      <c r="K322">
        <v>1.7057</v>
      </c>
      <c r="L322">
        <v>0.5615</v>
      </c>
    </row>
    <row r="323" spans="1:12">
      <c r="A323" t="s">
        <v>556</v>
      </c>
      <c r="B323">
        <v>0.3</v>
      </c>
      <c r="C323">
        <v>128</v>
      </c>
      <c r="D323" t="b">
        <v>0</v>
      </c>
      <c r="E323" t="s">
        <v>548</v>
      </c>
      <c r="F323" t="s">
        <v>532</v>
      </c>
      <c r="G323" t="s">
        <v>3</v>
      </c>
      <c r="H323">
        <v>58</v>
      </c>
      <c r="I323">
        <v>0.6482</v>
      </c>
      <c r="J323">
        <v>0.81240000000000001</v>
      </c>
      <c r="K323">
        <v>1.8303</v>
      </c>
      <c r="L323">
        <v>0.52249999999999996</v>
      </c>
    </row>
    <row r="324" spans="1:12">
      <c r="A324" t="s">
        <v>556</v>
      </c>
      <c r="B324">
        <v>0.3</v>
      </c>
      <c r="C324">
        <v>128</v>
      </c>
      <c r="D324" t="b">
        <v>0</v>
      </c>
      <c r="E324" t="s">
        <v>548</v>
      </c>
      <c r="F324" t="s">
        <v>532</v>
      </c>
      <c r="G324" t="s">
        <v>4</v>
      </c>
      <c r="H324">
        <v>58</v>
      </c>
      <c r="I324">
        <v>0.60550000000000004</v>
      </c>
      <c r="J324">
        <v>0.8165</v>
      </c>
      <c r="K324">
        <v>1.8372999999999999</v>
      </c>
      <c r="L324">
        <v>0.54649999999999999</v>
      </c>
    </row>
    <row r="325" spans="1:12">
      <c r="A325" t="s">
        <v>556</v>
      </c>
      <c r="B325">
        <v>0.3</v>
      </c>
      <c r="C325">
        <v>128</v>
      </c>
      <c r="D325" t="b">
        <v>0</v>
      </c>
      <c r="E325" t="s">
        <v>548</v>
      </c>
      <c r="F325" t="s">
        <v>532</v>
      </c>
      <c r="G325" t="s">
        <v>5</v>
      </c>
      <c r="H325">
        <v>58</v>
      </c>
      <c r="I325">
        <v>0.55120000000000002</v>
      </c>
      <c r="J325">
        <v>0.83250000000000002</v>
      </c>
      <c r="K325">
        <v>1.88</v>
      </c>
      <c r="L325">
        <v>0.53700000000000003</v>
      </c>
    </row>
    <row r="326" spans="1:12">
      <c r="A326" t="s">
        <v>556</v>
      </c>
      <c r="B326">
        <v>0.3</v>
      </c>
      <c r="C326">
        <v>128</v>
      </c>
      <c r="D326" t="b">
        <v>0</v>
      </c>
      <c r="E326" t="s">
        <v>547</v>
      </c>
      <c r="F326" t="s">
        <v>531</v>
      </c>
      <c r="G326" t="s">
        <v>0</v>
      </c>
      <c r="H326">
        <v>60</v>
      </c>
      <c r="I326">
        <v>0.35720000000000002</v>
      </c>
      <c r="J326">
        <v>0.89780000000000004</v>
      </c>
      <c r="K326">
        <v>1.9637</v>
      </c>
      <c r="L326">
        <v>0.53249999999999997</v>
      </c>
    </row>
    <row r="327" spans="1:12">
      <c r="A327" t="s">
        <v>556</v>
      </c>
      <c r="B327">
        <v>0.3</v>
      </c>
      <c r="C327">
        <v>128</v>
      </c>
      <c r="D327" t="b">
        <v>0</v>
      </c>
      <c r="E327" t="s">
        <v>547</v>
      </c>
      <c r="F327" t="s">
        <v>531</v>
      </c>
      <c r="G327" t="s">
        <v>1</v>
      </c>
      <c r="H327">
        <v>60</v>
      </c>
      <c r="I327">
        <v>0.30859999999999999</v>
      </c>
      <c r="J327">
        <v>0.91100000000000003</v>
      </c>
      <c r="K327">
        <v>1.954</v>
      </c>
      <c r="L327">
        <v>0.54449999999999998</v>
      </c>
    </row>
    <row r="328" spans="1:12">
      <c r="A328" t="s">
        <v>556</v>
      </c>
      <c r="B328">
        <v>0.3</v>
      </c>
      <c r="C328">
        <v>128</v>
      </c>
      <c r="D328" t="b">
        <v>0</v>
      </c>
      <c r="E328" t="s">
        <v>547</v>
      </c>
      <c r="F328" t="s">
        <v>531</v>
      </c>
      <c r="G328" t="s">
        <v>2</v>
      </c>
      <c r="H328">
        <v>67</v>
      </c>
      <c r="I328">
        <v>0.25480000000000003</v>
      </c>
      <c r="J328">
        <v>0.92589999999999995</v>
      </c>
      <c r="K328">
        <v>2.0556000000000001</v>
      </c>
      <c r="L328">
        <v>0.54349999999999998</v>
      </c>
    </row>
    <row r="329" spans="1:12">
      <c r="A329" t="s">
        <v>556</v>
      </c>
      <c r="B329">
        <v>0.3</v>
      </c>
      <c r="C329">
        <v>128</v>
      </c>
      <c r="D329" t="b">
        <v>0</v>
      </c>
      <c r="E329" t="s">
        <v>547</v>
      </c>
      <c r="F329" t="s">
        <v>531</v>
      </c>
      <c r="G329" t="s">
        <v>3</v>
      </c>
      <c r="H329">
        <v>63</v>
      </c>
      <c r="I329">
        <v>0.2298</v>
      </c>
      <c r="J329">
        <v>0.93340000000000001</v>
      </c>
      <c r="K329">
        <v>2.0817999999999999</v>
      </c>
      <c r="L329">
        <v>0.54549999999999998</v>
      </c>
    </row>
    <row r="330" spans="1:12">
      <c r="A330" t="s">
        <v>556</v>
      </c>
      <c r="B330">
        <v>0.3</v>
      </c>
      <c r="C330">
        <v>128</v>
      </c>
      <c r="D330" t="b">
        <v>0</v>
      </c>
      <c r="E330" t="s">
        <v>547</v>
      </c>
      <c r="F330" t="s">
        <v>531</v>
      </c>
      <c r="G330" t="s">
        <v>4</v>
      </c>
      <c r="H330">
        <v>62</v>
      </c>
      <c r="I330">
        <v>0.20499999999999999</v>
      </c>
      <c r="J330">
        <v>0.93889999999999996</v>
      </c>
      <c r="K330">
        <v>2.1236999999999999</v>
      </c>
      <c r="L330">
        <v>0.54149999999999998</v>
      </c>
    </row>
    <row r="331" spans="1:12">
      <c r="A331" t="s">
        <v>556</v>
      </c>
      <c r="B331">
        <v>0.3</v>
      </c>
      <c r="C331">
        <v>128</v>
      </c>
      <c r="D331" t="b">
        <v>0</v>
      </c>
      <c r="E331" t="s">
        <v>547</v>
      </c>
      <c r="F331" t="s">
        <v>531</v>
      </c>
      <c r="G331" t="s">
        <v>5</v>
      </c>
      <c r="H331">
        <v>64</v>
      </c>
      <c r="I331">
        <v>0.18920000000000001</v>
      </c>
      <c r="J331">
        <v>0.94510000000000005</v>
      </c>
      <c r="K331">
        <v>2.1957</v>
      </c>
      <c r="L331">
        <v>0.52549999999999997</v>
      </c>
    </row>
    <row r="332" spans="1:12">
      <c r="A332" t="s">
        <v>556</v>
      </c>
      <c r="B332">
        <v>0.3</v>
      </c>
      <c r="C332">
        <v>128</v>
      </c>
      <c r="D332" t="b">
        <v>0</v>
      </c>
      <c r="E332" t="s">
        <v>547</v>
      </c>
      <c r="F332" t="s">
        <v>532</v>
      </c>
      <c r="G332" t="s">
        <v>0</v>
      </c>
      <c r="H332">
        <v>60</v>
      </c>
      <c r="I332">
        <v>1.0611999999999999</v>
      </c>
      <c r="J332">
        <v>0.6875</v>
      </c>
      <c r="K332">
        <v>1.6368</v>
      </c>
      <c r="L332">
        <v>0.55500000000000005</v>
      </c>
    </row>
    <row r="333" spans="1:12">
      <c r="A333" t="s">
        <v>556</v>
      </c>
      <c r="B333">
        <v>0.3</v>
      </c>
      <c r="C333">
        <v>128</v>
      </c>
      <c r="D333" t="b">
        <v>0</v>
      </c>
      <c r="E333" t="s">
        <v>547</v>
      </c>
      <c r="F333" t="s">
        <v>532</v>
      </c>
      <c r="G333" t="s">
        <v>1</v>
      </c>
      <c r="H333">
        <v>60</v>
      </c>
      <c r="I333">
        <v>1.0066999999999999</v>
      </c>
      <c r="J333">
        <v>0.7</v>
      </c>
      <c r="K333">
        <v>1.6620999999999999</v>
      </c>
      <c r="L333">
        <v>0.56000000000000005</v>
      </c>
    </row>
    <row r="334" spans="1:12">
      <c r="A334" t="s">
        <v>556</v>
      </c>
      <c r="B334">
        <v>0.3</v>
      </c>
      <c r="C334">
        <v>128</v>
      </c>
      <c r="D334" t="b">
        <v>0</v>
      </c>
      <c r="E334" t="s">
        <v>547</v>
      </c>
      <c r="F334" t="s">
        <v>532</v>
      </c>
      <c r="G334" t="s">
        <v>2</v>
      </c>
      <c r="H334">
        <v>63</v>
      </c>
      <c r="I334">
        <v>0.93710000000000004</v>
      </c>
      <c r="J334">
        <v>0.72450000000000003</v>
      </c>
      <c r="K334">
        <v>1.6677999999999999</v>
      </c>
      <c r="L334">
        <v>0.55449999999999999</v>
      </c>
    </row>
    <row r="335" spans="1:12">
      <c r="A335" t="s">
        <v>556</v>
      </c>
      <c r="B335">
        <v>0.3</v>
      </c>
      <c r="C335">
        <v>128</v>
      </c>
      <c r="D335" t="b">
        <v>0</v>
      </c>
      <c r="E335" t="s">
        <v>547</v>
      </c>
      <c r="F335" t="s">
        <v>532</v>
      </c>
      <c r="G335" t="s">
        <v>3</v>
      </c>
      <c r="H335">
        <v>61</v>
      </c>
      <c r="I335">
        <v>0.86539999999999995</v>
      </c>
      <c r="J335">
        <v>0.74419999999999997</v>
      </c>
      <c r="K335">
        <v>1.6264000000000001</v>
      </c>
      <c r="L335">
        <v>0.55900000000000005</v>
      </c>
    </row>
    <row r="336" spans="1:12">
      <c r="A336" t="s">
        <v>556</v>
      </c>
      <c r="B336">
        <v>0.3</v>
      </c>
      <c r="C336">
        <v>128</v>
      </c>
      <c r="D336" t="b">
        <v>0</v>
      </c>
      <c r="E336" t="s">
        <v>547</v>
      </c>
      <c r="F336" t="s">
        <v>532</v>
      </c>
      <c r="G336" t="s">
        <v>4</v>
      </c>
      <c r="H336">
        <v>64</v>
      </c>
      <c r="I336">
        <v>0.80859999999999999</v>
      </c>
      <c r="J336">
        <v>0.76749999999999996</v>
      </c>
      <c r="K336">
        <v>1.6738999999999999</v>
      </c>
      <c r="L336">
        <v>0.55200000000000005</v>
      </c>
    </row>
    <row r="337" spans="1:12">
      <c r="A337" t="s">
        <v>556</v>
      </c>
      <c r="B337">
        <v>0.3</v>
      </c>
      <c r="C337">
        <v>128</v>
      </c>
      <c r="D337" t="b">
        <v>0</v>
      </c>
      <c r="E337" t="s">
        <v>547</v>
      </c>
      <c r="F337" t="s">
        <v>532</v>
      </c>
      <c r="G337" t="s">
        <v>5</v>
      </c>
      <c r="H337">
        <v>62</v>
      </c>
      <c r="I337">
        <v>0.75249999999999995</v>
      </c>
      <c r="J337">
        <v>0.78100000000000003</v>
      </c>
      <c r="K337">
        <v>1.7115</v>
      </c>
      <c r="L337">
        <v>0.55100000000000005</v>
      </c>
    </row>
    <row r="338" spans="1:12">
      <c r="A338" t="s">
        <v>556</v>
      </c>
      <c r="B338">
        <v>0.3</v>
      </c>
      <c r="C338">
        <v>256</v>
      </c>
      <c r="D338" t="b">
        <v>0</v>
      </c>
      <c r="E338" t="s">
        <v>548</v>
      </c>
      <c r="F338" t="s">
        <v>531</v>
      </c>
      <c r="G338" t="s">
        <v>0</v>
      </c>
      <c r="H338">
        <v>113</v>
      </c>
      <c r="I338">
        <v>0.29409999999999997</v>
      </c>
      <c r="J338">
        <v>0.91390000000000005</v>
      </c>
      <c r="K338">
        <v>2.028</v>
      </c>
      <c r="L338">
        <v>0.53849999999999998</v>
      </c>
    </row>
    <row r="339" spans="1:12">
      <c r="A339" t="s">
        <v>556</v>
      </c>
      <c r="B339">
        <v>0.3</v>
      </c>
      <c r="C339">
        <v>256</v>
      </c>
      <c r="D339" t="b">
        <v>0</v>
      </c>
      <c r="E339" t="s">
        <v>548</v>
      </c>
      <c r="F339" t="s">
        <v>531</v>
      </c>
      <c r="G339" t="s">
        <v>1</v>
      </c>
      <c r="H339">
        <v>112</v>
      </c>
      <c r="I339">
        <v>0.24529999999999999</v>
      </c>
      <c r="J339">
        <v>0.92310000000000003</v>
      </c>
      <c r="K339">
        <v>2.0133000000000001</v>
      </c>
      <c r="L339">
        <v>0.53849999999999998</v>
      </c>
    </row>
    <row r="340" spans="1:12">
      <c r="A340" t="s">
        <v>556</v>
      </c>
      <c r="B340">
        <v>0.3</v>
      </c>
      <c r="C340">
        <v>256</v>
      </c>
      <c r="D340" t="b">
        <v>0</v>
      </c>
      <c r="E340" t="s">
        <v>548</v>
      </c>
      <c r="F340" t="s">
        <v>531</v>
      </c>
      <c r="G340" t="s">
        <v>2</v>
      </c>
      <c r="H340">
        <v>115</v>
      </c>
      <c r="I340">
        <v>0.2341</v>
      </c>
      <c r="J340">
        <v>0.93</v>
      </c>
      <c r="K340">
        <v>2.0693000000000001</v>
      </c>
      <c r="L340">
        <v>0.52449999999999997</v>
      </c>
    </row>
    <row r="341" spans="1:12">
      <c r="A341" t="s">
        <v>556</v>
      </c>
      <c r="B341">
        <v>0.3</v>
      </c>
      <c r="C341">
        <v>256</v>
      </c>
      <c r="D341" t="b">
        <v>0</v>
      </c>
      <c r="E341" t="s">
        <v>548</v>
      </c>
      <c r="F341" t="s">
        <v>531</v>
      </c>
      <c r="G341" t="s">
        <v>3</v>
      </c>
      <c r="H341">
        <v>115</v>
      </c>
      <c r="I341">
        <v>0.2006</v>
      </c>
      <c r="J341">
        <v>0.94369999999999998</v>
      </c>
      <c r="K341">
        <v>2.0840999999999998</v>
      </c>
      <c r="L341">
        <v>0.52449999999999997</v>
      </c>
    </row>
    <row r="342" spans="1:12">
      <c r="A342" t="s">
        <v>556</v>
      </c>
      <c r="B342">
        <v>0.3</v>
      </c>
      <c r="C342">
        <v>256</v>
      </c>
      <c r="D342" t="b">
        <v>0</v>
      </c>
      <c r="E342" t="s">
        <v>548</v>
      </c>
      <c r="F342" t="s">
        <v>531</v>
      </c>
      <c r="G342" t="s">
        <v>4</v>
      </c>
      <c r="H342">
        <v>114</v>
      </c>
      <c r="I342">
        <v>0.18490000000000001</v>
      </c>
      <c r="J342">
        <v>0.94489999999999996</v>
      </c>
      <c r="K342">
        <v>2.1652</v>
      </c>
      <c r="L342">
        <v>0.52649999999999997</v>
      </c>
    </row>
    <row r="343" spans="1:12">
      <c r="A343" t="s">
        <v>556</v>
      </c>
      <c r="B343">
        <v>0.3</v>
      </c>
      <c r="C343">
        <v>256</v>
      </c>
      <c r="D343" t="b">
        <v>0</v>
      </c>
      <c r="E343" t="s">
        <v>548</v>
      </c>
      <c r="F343" t="s">
        <v>531</v>
      </c>
      <c r="G343" t="s">
        <v>5</v>
      </c>
      <c r="H343">
        <v>115</v>
      </c>
      <c r="I343">
        <v>0.16309999999999999</v>
      </c>
      <c r="J343">
        <v>0.95089999999999997</v>
      </c>
      <c r="K343">
        <v>2.2416</v>
      </c>
      <c r="L343">
        <v>0.52600000000000002</v>
      </c>
    </row>
    <row r="344" spans="1:12">
      <c r="A344" t="s">
        <v>556</v>
      </c>
      <c r="B344">
        <v>0.3</v>
      </c>
      <c r="C344">
        <v>256</v>
      </c>
      <c r="D344" t="b">
        <v>0</v>
      </c>
      <c r="E344" t="s">
        <v>548</v>
      </c>
      <c r="F344" t="s">
        <v>532</v>
      </c>
      <c r="G344" t="s">
        <v>0</v>
      </c>
      <c r="H344">
        <v>115</v>
      </c>
      <c r="I344">
        <v>0.84509999999999996</v>
      </c>
      <c r="J344">
        <v>0.74760000000000004</v>
      </c>
      <c r="K344">
        <v>1.7364999999999999</v>
      </c>
      <c r="L344">
        <v>0.53949999999999998</v>
      </c>
    </row>
    <row r="345" spans="1:12">
      <c r="A345" t="s">
        <v>556</v>
      </c>
      <c r="B345">
        <v>0.3</v>
      </c>
      <c r="C345">
        <v>256</v>
      </c>
      <c r="D345" t="b">
        <v>0</v>
      </c>
      <c r="E345" t="s">
        <v>548</v>
      </c>
      <c r="F345" t="s">
        <v>532</v>
      </c>
      <c r="G345" t="s">
        <v>1</v>
      </c>
      <c r="H345">
        <v>115</v>
      </c>
      <c r="I345">
        <v>0.76690000000000003</v>
      </c>
      <c r="J345">
        <v>0.76880000000000004</v>
      </c>
      <c r="K345">
        <v>1.6671</v>
      </c>
      <c r="L345">
        <v>0.56599999999999995</v>
      </c>
    </row>
    <row r="346" spans="1:12">
      <c r="A346" t="s">
        <v>556</v>
      </c>
      <c r="B346">
        <v>0.3</v>
      </c>
      <c r="C346">
        <v>256</v>
      </c>
      <c r="D346" t="b">
        <v>0</v>
      </c>
      <c r="E346" t="s">
        <v>548</v>
      </c>
      <c r="F346" t="s">
        <v>532</v>
      </c>
      <c r="G346" t="s">
        <v>2</v>
      </c>
      <c r="H346">
        <v>115</v>
      </c>
      <c r="I346">
        <v>0.71309999999999996</v>
      </c>
      <c r="J346">
        <v>0.78710000000000002</v>
      </c>
      <c r="K346">
        <v>1.7745</v>
      </c>
      <c r="L346">
        <v>0.55700000000000005</v>
      </c>
    </row>
    <row r="347" spans="1:12">
      <c r="A347" t="s">
        <v>556</v>
      </c>
      <c r="B347">
        <v>0.3</v>
      </c>
      <c r="C347">
        <v>256</v>
      </c>
      <c r="D347" t="b">
        <v>0</v>
      </c>
      <c r="E347" t="s">
        <v>548</v>
      </c>
      <c r="F347" t="s">
        <v>532</v>
      </c>
      <c r="G347" t="s">
        <v>3</v>
      </c>
      <c r="H347">
        <v>114</v>
      </c>
      <c r="I347">
        <v>0.64490000000000003</v>
      </c>
      <c r="J347">
        <v>0.81079999999999997</v>
      </c>
      <c r="K347">
        <v>1.7118</v>
      </c>
      <c r="L347">
        <v>0.5585</v>
      </c>
    </row>
    <row r="348" spans="1:12">
      <c r="A348" t="s">
        <v>556</v>
      </c>
      <c r="B348">
        <v>0.3</v>
      </c>
      <c r="C348">
        <v>256</v>
      </c>
      <c r="D348" t="b">
        <v>0</v>
      </c>
      <c r="E348" t="s">
        <v>548</v>
      </c>
      <c r="F348" t="s">
        <v>532</v>
      </c>
      <c r="G348" t="s">
        <v>4</v>
      </c>
      <c r="H348">
        <v>114</v>
      </c>
      <c r="I348">
        <v>0.57650000000000001</v>
      </c>
      <c r="J348">
        <v>0.82289999999999996</v>
      </c>
      <c r="K348">
        <v>1.7890999999999999</v>
      </c>
      <c r="L348">
        <v>0.55200000000000005</v>
      </c>
    </row>
    <row r="349" spans="1:12">
      <c r="A349" t="s">
        <v>556</v>
      </c>
      <c r="B349">
        <v>0.3</v>
      </c>
      <c r="C349">
        <v>256</v>
      </c>
      <c r="D349" t="b">
        <v>0</v>
      </c>
      <c r="E349" t="s">
        <v>548</v>
      </c>
      <c r="F349" t="s">
        <v>532</v>
      </c>
      <c r="G349" t="s">
        <v>5</v>
      </c>
      <c r="H349">
        <v>113</v>
      </c>
      <c r="I349">
        <v>0.53600000000000003</v>
      </c>
      <c r="J349">
        <v>0.83589999999999998</v>
      </c>
      <c r="K349">
        <v>1.8609</v>
      </c>
      <c r="L349">
        <v>0.55549999999999999</v>
      </c>
    </row>
    <row r="350" spans="1:12">
      <c r="A350" t="s">
        <v>556</v>
      </c>
      <c r="B350">
        <v>0.3</v>
      </c>
      <c r="C350">
        <v>256</v>
      </c>
      <c r="D350" t="b">
        <v>0</v>
      </c>
      <c r="E350" t="s">
        <v>547</v>
      </c>
      <c r="F350" t="s">
        <v>531</v>
      </c>
      <c r="G350" t="s">
        <v>0</v>
      </c>
      <c r="H350">
        <v>120</v>
      </c>
      <c r="I350">
        <v>0.34050000000000002</v>
      </c>
      <c r="J350">
        <v>0.90339999999999998</v>
      </c>
      <c r="K350">
        <v>1.9975000000000001</v>
      </c>
      <c r="L350">
        <v>0.53549999999999998</v>
      </c>
    </row>
    <row r="351" spans="1:12">
      <c r="A351" t="s">
        <v>556</v>
      </c>
      <c r="B351">
        <v>0.3</v>
      </c>
      <c r="C351">
        <v>256</v>
      </c>
      <c r="D351" t="b">
        <v>0</v>
      </c>
      <c r="E351" t="s">
        <v>547</v>
      </c>
      <c r="F351" t="s">
        <v>531</v>
      </c>
      <c r="G351" t="s">
        <v>1</v>
      </c>
      <c r="H351">
        <v>120</v>
      </c>
      <c r="I351">
        <v>0.28079999999999999</v>
      </c>
      <c r="J351">
        <v>0.91649999999999998</v>
      </c>
      <c r="K351">
        <v>1.9462999999999999</v>
      </c>
      <c r="L351">
        <v>0.54700000000000004</v>
      </c>
    </row>
    <row r="352" spans="1:12">
      <c r="A352" t="s">
        <v>556</v>
      </c>
      <c r="B352">
        <v>0.3</v>
      </c>
      <c r="C352">
        <v>256</v>
      </c>
      <c r="D352" t="b">
        <v>0</v>
      </c>
      <c r="E352" t="s">
        <v>547</v>
      </c>
      <c r="F352" t="s">
        <v>531</v>
      </c>
      <c r="G352" t="s">
        <v>2</v>
      </c>
      <c r="H352">
        <v>116</v>
      </c>
      <c r="I352">
        <v>0.2535</v>
      </c>
      <c r="J352">
        <v>0.92210000000000003</v>
      </c>
      <c r="K352">
        <v>2.1320999999999999</v>
      </c>
      <c r="L352">
        <v>0.53200000000000003</v>
      </c>
    </row>
    <row r="353" spans="1:12">
      <c r="A353" t="s">
        <v>556</v>
      </c>
      <c r="B353">
        <v>0.3</v>
      </c>
      <c r="C353">
        <v>256</v>
      </c>
      <c r="D353" t="b">
        <v>0</v>
      </c>
      <c r="E353" t="s">
        <v>547</v>
      </c>
      <c r="F353" t="s">
        <v>531</v>
      </c>
      <c r="G353" t="s">
        <v>3</v>
      </c>
      <c r="H353">
        <v>119</v>
      </c>
      <c r="I353">
        <v>0.23499999999999999</v>
      </c>
      <c r="J353">
        <v>0.9325</v>
      </c>
      <c r="K353">
        <v>2.0960999999999999</v>
      </c>
      <c r="L353">
        <v>0.54600000000000004</v>
      </c>
    </row>
    <row r="354" spans="1:12">
      <c r="A354" t="s">
        <v>556</v>
      </c>
      <c r="B354">
        <v>0.3</v>
      </c>
      <c r="C354">
        <v>256</v>
      </c>
      <c r="D354" t="b">
        <v>0</v>
      </c>
      <c r="E354" t="s">
        <v>547</v>
      </c>
      <c r="F354" t="s">
        <v>531</v>
      </c>
      <c r="G354" t="s">
        <v>4</v>
      </c>
      <c r="H354">
        <v>123</v>
      </c>
      <c r="I354">
        <v>0.21659999999999999</v>
      </c>
      <c r="J354">
        <v>0.93810000000000004</v>
      </c>
      <c r="K354">
        <v>2.1356000000000002</v>
      </c>
      <c r="L354">
        <v>0.53600000000000003</v>
      </c>
    </row>
    <row r="355" spans="1:12">
      <c r="A355" t="s">
        <v>556</v>
      </c>
      <c r="B355">
        <v>0.3</v>
      </c>
      <c r="C355">
        <v>256</v>
      </c>
      <c r="D355" t="b">
        <v>0</v>
      </c>
      <c r="E355" t="s">
        <v>547</v>
      </c>
      <c r="F355" t="s">
        <v>531</v>
      </c>
      <c r="G355" t="s">
        <v>5</v>
      </c>
      <c r="H355">
        <v>120</v>
      </c>
      <c r="I355">
        <v>0.1706</v>
      </c>
      <c r="J355">
        <v>0.94910000000000005</v>
      </c>
      <c r="K355">
        <v>2.2113</v>
      </c>
      <c r="L355">
        <v>0.54649999999999999</v>
      </c>
    </row>
    <row r="356" spans="1:12">
      <c r="A356" t="s">
        <v>556</v>
      </c>
      <c r="B356">
        <v>0.3</v>
      </c>
      <c r="C356">
        <v>256</v>
      </c>
      <c r="D356" t="b">
        <v>0</v>
      </c>
      <c r="E356" t="s">
        <v>547</v>
      </c>
      <c r="F356" t="s">
        <v>532</v>
      </c>
      <c r="G356" t="s">
        <v>0</v>
      </c>
      <c r="H356">
        <v>119</v>
      </c>
      <c r="I356">
        <v>1.0432999999999999</v>
      </c>
      <c r="J356">
        <v>0.68559999999999999</v>
      </c>
      <c r="K356">
        <v>1.6733</v>
      </c>
      <c r="L356">
        <v>0.55149999999999999</v>
      </c>
    </row>
    <row r="357" spans="1:12">
      <c r="A357" t="s">
        <v>556</v>
      </c>
      <c r="B357">
        <v>0.3</v>
      </c>
      <c r="C357">
        <v>256</v>
      </c>
      <c r="D357" t="b">
        <v>0</v>
      </c>
      <c r="E357" t="s">
        <v>547</v>
      </c>
      <c r="F357" t="s">
        <v>532</v>
      </c>
      <c r="G357" t="s">
        <v>1</v>
      </c>
      <c r="H357">
        <v>119</v>
      </c>
      <c r="I357">
        <v>0.96830000000000005</v>
      </c>
      <c r="J357">
        <v>0.70740000000000003</v>
      </c>
      <c r="K357">
        <v>1.7096</v>
      </c>
      <c r="L357">
        <v>0.54500000000000004</v>
      </c>
    </row>
    <row r="358" spans="1:12">
      <c r="A358" t="s">
        <v>556</v>
      </c>
      <c r="B358">
        <v>0.3</v>
      </c>
      <c r="C358">
        <v>256</v>
      </c>
      <c r="D358" t="b">
        <v>0</v>
      </c>
      <c r="E358" t="s">
        <v>547</v>
      </c>
      <c r="F358" t="s">
        <v>532</v>
      </c>
      <c r="G358" t="s">
        <v>2</v>
      </c>
      <c r="H358">
        <v>119</v>
      </c>
      <c r="I358">
        <v>0.91159999999999997</v>
      </c>
      <c r="J358">
        <v>0.73050000000000004</v>
      </c>
      <c r="K358">
        <v>1.7553000000000001</v>
      </c>
      <c r="L358">
        <v>0.54049999999999998</v>
      </c>
    </row>
    <row r="359" spans="1:12">
      <c r="A359" t="s">
        <v>556</v>
      </c>
      <c r="B359">
        <v>0.3</v>
      </c>
      <c r="C359">
        <v>256</v>
      </c>
      <c r="D359" t="b">
        <v>0</v>
      </c>
      <c r="E359" t="s">
        <v>547</v>
      </c>
      <c r="F359" t="s">
        <v>532</v>
      </c>
      <c r="G359" t="s">
        <v>3</v>
      </c>
      <c r="H359">
        <v>119</v>
      </c>
      <c r="I359">
        <v>0.81850000000000001</v>
      </c>
      <c r="J359">
        <v>0.76029999999999998</v>
      </c>
      <c r="K359">
        <v>1.7057</v>
      </c>
      <c r="L359">
        <v>0.54349999999999998</v>
      </c>
    </row>
    <row r="360" spans="1:12">
      <c r="A360" t="s">
        <v>556</v>
      </c>
      <c r="B360">
        <v>0.3</v>
      </c>
      <c r="C360">
        <v>256</v>
      </c>
      <c r="D360" t="b">
        <v>0</v>
      </c>
      <c r="E360" t="s">
        <v>547</v>
      </c>
      <c r="F360" t="s">
        <v>532</v>
      </c>
      <c r="G360" t="s">
        <v>4</v>
      </c>
      <c r="H360">
        <v>119</v>
      </c>
      <c r="I360">
        <v>0.7621</v>
      </c>
      <c r="J360">
        <v>0.77070000000000005</v>
      </c>
      <c r="K360">
        <v>1.639</v>
      </c>
      <c r="L360">
        <v>0.55700000000000005</v>
      </c>
    </row>
    <row r="361" spans="1:12">
      <c r="A361" t="s">
        <v>556</v>
      </c>
      <c r="B361">
        <v>0.3</v>
      </c>
      <c r="C361">
        <v>256</v>
      </c>
      <c r="D361" t="b">
        <v>0</v>
      </c>
      <c r="E361" t="s">
        <v>547</v>
      </c>
      <c r="F361" t="s">
        <v>532</v>
      </c>
      <c r="G361" t="s">
        <v>5</v>
      </c>
      <c r="H361">
        <v>120</v>
      </c>
      <c r="I361">
        <v>0.71299999999999997</v>
      </c>
      <c r="J361">
        <v>0.79110000000000003</v>
      </c>
      <c r="K361">
        <v>1.7148000000000001</v>
      </c>
      <c r="L361">
        <v>0.54549999999999998</v>
      </c>
    </row>
    <row r="362" spans="1:12">
      <c r="A362" t="s">
        <v>556</v>
      </c>
      <c r="B362">
        <v>0.5</v>
      </c>
      <c r="C362">
        <v>64</v>
      </c>
      <c r="D362" t="b">
        <v>0</v>
      </c>
      <c r="E362" t="s">
        <v>548</v>
      </c>
      <c r="F362" t="s">
        <v>531</v>
      </c>
      <c r="G362" t="s">
        <v>0</v>
      </c>
      <c r="H362">
        <v>37</v>
      </c>
      <c r="I362">
        <v>0.46610000000000001</v>
      </c>
      <c r="J362">
        <v>0.86519999999999997</v>
      </c>
      <c r="K362">
        <v>2.1118000000000001</v>
      </c>
      <c r="L362">
        <v>0.52700000000000002</v>
      </c>
    </row>
    <row r="363" spans="1:12">
      <c r="A363" t="s">
        <v>556</v>
      </c>
      <c r="B363">
        <v>0.5</v>
      </c>
      <c r="C363">
        <v>64</v>
      </c>
      <c r="D363" t="b">
        <v>0</v>
      </c>
      <c r="E363" t="s">
        <v>548</v>
      </c>
      <c r="F363" t="s">
        <v>531</v>
      </c>
      <c r="G363" t="s">
        <v>1</v>
      </c>
      <c r="H363">
        <v>37</v>
      </c>
      <c r="I363">
        <v>0.42230000000000001</v>
      </c>
      <c r="J363">
        <v>0.878</v>
      </c>
      <c r="K363">
        <v>2.0956000000000001</v>
      </c>
      <c r="L363">
        <v>0.51949999999999996</v>
      </c>
    </row>
    <row r="364" spans="1:12">
      <c r="A364" t="s">
        <v>556</v>
      </c>
      <c r="B364">
        <v>0.5</v>
      </c>
      <c r="C364">
        <v>64</v>
      </c>
      <c r="D364" t="b">
        <v>0</v>
      </c>
      <c r="E364" t="s">
        <v>548</v>
      </c>
      <c r="F364" t="s">
        <v>531</v>
      </c>
      <c r="G364" t="s">
        <v>2</v>
      </c>
      <c r="H364">
        <v>37</v>
      </c>
      <c r="I364">
        <v>0.38030000000000003</v>
      </c>
      <c r="J364">
        <v>0.8861</v>
      </c>
      <c r="K364">
        <v>2.1419000000000001</v>
      </c>
      <c r="L364">
        <v>0.50549999999999995</v>
      </c>
    </row>
    <row r="365" spans="1:12">
      <c r="A365" t="s">
        <v>556</v>
      </c>
      <c r="B365">
        <v>0.5</v>
      </c>
      <c r="C365">
        <v>64</v>
      </c>
      <c r="D365" t="b">
        <v>0</v>
      </c>
      <c r="E365" t="s">
        <v>548</v>
      </c>
      <c r="F365" t="s">
        <v>531</v>
      </c>
      <c r="G365" t="s">
        <v>3</v>
      </c>
      <c r="H365">
        <v>37</v>
      </c>
      <c r="I365">
        <v>0.34089999999999998</v>
      </c>
      <c r="J365">
        <v>0.90159999999999996</v>
      </c>
      <c r="K365">
        <v>2.2450999999999999</v>
      </c>
      <c r="L365">
        <v>0.501</v>
      </c>
    </row>
    <row r="366" spans="1:12">
      <c r="A366" t="s">
        <v>556</v>
      </c>
      <c r="B366">
        <v>0.5</v>
      </c>
      <c r="C366">
        <v>64</v>
      </c>
      <c r="D366" t="b">
        <v>0</v>
      </c>
      <c r="E366" t="s">
        <v>548</v>
      </c>
      <c r="F366" t="s">
        <v>531</v>
      </c>
      <c r="G366" t="s">
        <v>4</v>
      </c>
      <c r="H366">
        <v>37</v>
      </c>
      <c r="I366">
        <v>0.32269999999999999</v>
      </c>
      <c r="J366">
        <v>0.90500000000000003</v>
      </c>
      <c r="K366">
        <v>2.2625999999999999</v>
      </c>
      <c r="L366">
        <v>0.52500000000000002</v>
      </c>
    </row>
    <row r="367" spans="1:12">
      <c r="A367" t="s">
        <v>556</v>
      </c>
      <c r="B367">
        <v>0.5</v>
      </c>
      <c r="C367">
        <v>64</v>
      </c>
      <c r="D367" t="b">
        <v>0</v>
      </c>
      <c r="E367" t="s">
        <v>548</v>
      </c>
      <c r="F367" t="s">
        <v>531</v>
      </c>
      <c r="G367" t="s">
        <v>5</v>
      </c>
      <c r="H367">
        <v>37</v>
      </c>
      <c r="I367">
        <v>0.2979</v>
      </c>
      <c r="J367">
        <v>0.91679999999999995</v>
      </c>
      <c r="K367">
        <v>2.2883</v>
      </c>
      <c r="L367">
        <v>0.52649999999999997</v>
      </c>
    </row>
    <row r="368" spans="1:12">
      <c r="A368" t="s">
        <v>556</v>
      </c>
      <c r="B368">
        <v>0.5</v>
      </c>
      <c r="C368">
        <v>64</v>
      </c>
      <c r="D368" t="b">
        <v>0</v>
      </c>
      <c r="E368" t="s">
        <v>548</v>
      </c>
      <c r="F368" t="s">
        <v>532</v>
      </c>
      <c r="G368" t="s">
        <v>0</v>
      </c>
      <c r="H368">
        <v>36</v>
      </c>
      <c r="I368">
        <v>1.1944999999999999</v>
      </c>
      <c r="J368">
        <v>0.64339999999999997</v>
      </c>
      <c r="K368">
        <v>1.7955000000000001</v>
      </c>
      <c r="L368">
        <v>0.51249999999999996</v>
      </c>
    </row>
    <row r="369" spans="1:12">
      <c r="A369" t="s">
        <v>556</v>
      </c>
      <c r="B369">
        <v>0.5</v>
      </c>
      <c r="C369">
        <v>64</v>
      </c>
      <c r="D369" t="b">
        <v>0</v>
      </c>
      <c r="E369" t="s">
        <v>548</v>
      </c>
      <c r="F369" t="s">
        <v>532</v>
      </c>
      <c r="G369" t="s">
        <v>1</v>
      </c>
      <c r="H369">
        <v>36</v>
      </c>
      <c r="I369">
        <v>1.0891999999999999</v>
      </c>
      <c r="J369">
        <v>0.67349999999999999</v>
      </c>
      <c r="K369">
        <v>1.7249000000000001</v>
      </c>
      <c r="L369">
        <v>0.53949999999999998</v>
      </c>
    </row>
    <row r="370" spans="1:12">
      <c r="A370" t="s">
        <v>556</v>
      </c>
      <c r="B370">
        <v>0.5</v>
      </c>
      <c r="C370">
        <v>64</v>
      </c>
      <c r="D370" t="b">
        <v>0</v>
      </c>
      <c r="E370" t="s">
        <v>548</v>
      </c>
      <c r="F370" t="s">
        <v>532</v>
      </c>
      <c r="G370" t="s">
        <v>2</v>
      </c>
      <c r="H370">
        <v>36</v>
      </c>
      <c r="I370">
        <v>1.0039</v>
      </c>
      <c r="J370">
        <v>0.69850000000000001</v>
      </c>
      <c r="K370">
        <v>1.7250000000000001</v>
      </c>
      <c r="L370">
        <v>0.54649999999999999</v>
      </c>
    </row>
    <row r="371" spans="1:12">
      <c r="A371" t="s">
        <v>556</v>
      </c>
      <c r="B371">
        <v>0.5</v>
      </c>
      <c r="C371">
        <v>64</v>
      </c>
      <c r="D371" t="b">
        <v>0</v>
      </c>
      <c r="E371" t="s">
        <v>548</v>
      </c>
      <c r="F371" t="s">
        <v>532</v>
      </c>
      <c r="G371" t="s">
        <v>3</v>
      </c>
      <c r="H371">
        <v>36</v>
      </c>
      <c r="I371">
        <v>0.95050000000000001</v>
      </c>
      <c r="J371">
        <v>0.71919999999999995</v>
      </c>
      <c r="K371">
        <v>1.7415</v>
      </c>
      <c r="L371">
        <v>0.54800000000000004</v>
      </c>
    </row>
    <row r="372" spans="1:12">
      <c r="A372" t="s">
        <v>556</v>
      </c>
      <c r="B372">
        <v>0.5</v>
      </c>
      <c r="C372">
        <v>64</v>
      </c>
      <c r="D372" t="b">
        <v>0</v>
      </c>
      <c r="E372" t="s">
        <v>548</v>
      </c>
      <c r="F372" t="s">
        <v>532</v>
      </c>
      <c r="G372" t="s">
        <v>4</v>
      </c>
      <c r="H372">
        <v>36</v>
      </c>
      <c r="I372">
        <v>0.89859999999999995</v>
      </c>
      <c r="J372">
        <v>0.73460000000000003</v>
      </c>
      <c r="K372">
        <v>1.7366999999999999</v>
      </c>
      <c r="L372">
        <v>0.54549999999999998</v>
      </c>
    </row>
    <row r="373" spans="1:12">
      <c r="A373" t="s">
        <v>556</v>
      </c>
      <c r="B373">
        <v>0.5</v>
      </c>
      <c r="C373">
        <v>64</v>
      </c>
      <c r="D373" t="b">
        <v>0</v>
      </c>
      <c r="E373" t="s">
        <v>548</v>
      </c>
      <c r="F373" t="s">
        <v>532</v>
      </c>
      <c r="G373" t="s">
        <v>5</v>
      </c>
      <c r="H373">
        <v>36</v>
      </c>
      <c r="I373">
        <v>0.84279999999999999</v>
      </c>
      <c r="J373">
        <v>0.75209999999999999</v>
      </c>
      <c r="K373">
        <v>1.7807999999999999</v>
      </c>
      <c r="L373">
        <v>0.54649999999999999</v>
      </c>
    </row>
    <row r="374" spans="1:12">
      <c r="A374" t="s">
        <v>556</v>
      </c>
      <c r="B374">
        <v>0.5</v>
      </c>
      <c r="C374">
        <v>64</v>
      </c>
      <c r="D374" t="b">
        <v>0</v>
      </c>
      <c r="E374" t="s">
        <v>547</v>
      </c>
      <c r="F374" t="s">
        <v>531</v>
      </c>
      <c r="G374" t="s">
        <v>0</v>
      </c>
      <c r="H374">
        <v>38</v>
      </c>
      <c r="I374">
        <v>0.64239999999999997</v>
      </c>
      <c r="J374">
        <v>0.81259999999999999</v>
      </c>
      <c r="K374">
        <v>1.8624000000000001</v>
      </c>
      <c r="L374">
        <v>0.52900000000000003</v>
      </c>
    </row>
    <row r="375" spans="1:12">
      <c r="A375" t="s">
        <v>556</v>
      </c>
      <c r="B375">
        <v>0.5</v>
      </c>
      <c r="C375">
        <v>64</v>
      </c>
      <c r="D375" t="b">
        <v>0</v>
      </c>
      <c r="E375" t="s">
        <v>547</v>
      </c>
      <c r="F375" t="s">
        <v>531</v>
      </c>
      <c r="G375" t="s">
        <v>1</v>
      </c>
      <c r="H375">
        <v>38</v>
      </c>
      <c r="I375">
        <v>0.54869999999999997</v>
      </c>
      <c r="J375">
        <v>0.84450000000000003</v>
      </c>
      <c r="K375">
        <v>1.9007000000000001</v>
      </c>
      <c r="L375">
        <v>0.53449999999999998</v>
      </c>
    </row>
    <row r="376" spans="1:12">
      <c r="A376" t="s">
        <v>556</v>
      </c>
      <c r="B376">
        <v>0.5</v>
      </c>
      <c r="C376">
        <v>64</v>
      </c>
      <c r="D376" t="b">
        <v>0</v>
      </c>
      <c r="E376" t="s">
        <v>547</v>
      </c>
      <c r="F376" t="s">
        <v>531</v>
      </c>
      <c r="G376" t="s">
        <v>2</v>
      </c>
      <c r="H376">
        <v>38</v>
      </c>
      <c r="I376">
        <v>0.50839999999999996</v>
      </c>
      <c r="J376">
        <v>0.8538</v>
      </c>
      <c r="K376">
        <v>1.9079999999999999</v>
      </c>
      <c r="L376">
        <v>0.54349999999999998</v>
      </c>
    </row>
    <row r="377" spans="1:12">
      <c r="A377" t="s">
        <v>556</v>
      </c>
      <c r="B377">
        <v>0.5</v>
      </c>
      <c r="C377">
        <v>64</v>
      </c>
      <c r="D377" t="b">
        <v>0</v>
      </c>
      <c r="E377" t="s">
        <v>547</v>
      </c>
      <c r="F377" t="s">
        <v>531</v>
      </c>
      <c r="G377" t="s">
        <v>3</v>
      </c>
      <c r="H377">
        <v>38</v>
      </c>
      <c r="I377">
        <v>0.42520000000000002</v>
      </c>
      <c r="J377">
        <v>0.87890000000000001</v>
      </c>
      <c r="K377">
        <v>1.9422999999999999</v>
      </c>
      <c r="L377">
        <v>0.55649999999999999</v>
      </c>
    </row>
    <row r="378" spans="1:12">
      <c r="A378" t="s">
        <v>556</v>
      </c>
      <c r="B378">
        <v>0.5</v>
      </c>
      <c r="C378">
        <v>64</v>
      </c>
      <c r="D378" t="b">
        <v>0</v>
      </c>
      <c r="E378" t="s">
        <v>547</v>
      </c>
      <c r="F378" t="s">
        <v>531</v>
      </c>
      <c r="G378" t="s">
        <v>4</v>
      </c>
      <c r="H378">
        <v>38</v>
      </c>
      <c r="I378">
        <v>0.3952</v>
      </c>
      <c r="J378">
        <v>0.88700000000000001</v>
      </c>
      <c r="K378">
        <v>1.9711000000000001</v>
      </c>
      <c r="L378">
        <v>0.54649999999999999</v>
      </c>
    </row>
    <row r="379" spans="1:12">
      <c r="A379" t="s">
        <v>556</v>
      </c>
      <c r="B379">
        <v>0.5</v>
      </c>
      <c r="C379">
        <v>64</v>
      </c>
      <c r="D379" t="b">
        <v>0</v>
      </c>
      <c r="E379" t="s">
        <v>547</v>
      </c>
      <c r="F379" t="s">
        <v>531</v>
      </c>
      <c r="G379" t="s">
        <v>5</v>
      </c>
      <c r="H379">
        <v>38</v>
      </c>
      <c r="I379">
        <v>0.36220000000000002</v>
      </c>
      <c r="J379">
        <v>0.89639999999999997</v>
      </c>
      <c r="K379">
        <v>2.0356999999999998</v>
      </c>
      <c r="L379">
        <v>0.54200000000000004</v>
      </c>
    </row>
    <row r="380" spans="1:12">
      <c r="A380" t="s">
        <v>556</v>
      </c>
      <c r="B380">
        <v>0.5</v>
      </c>
      <c r="C380">
        <v>64</v>
      </c>
      <c r="D380" t="b">
        <v>0</v>
      </c>
      <c r="E380" t="s">
        <v>547</v>
      </c>
      <c r="F380" t="s">
        <v>532</v>
      </c>
      <c r="G380" t="s">
        <v>0</v>
      </c>
      <c r="H380">
        <v>39</v>
      </c>
      <c r="I380">
        <v>1.3940999999999999</v>
      </c>
      <c r="J380">
        <v>0.58499999999999996</v>
      </c>
      <c r="K380">
        <v>1.7745</v>
      </c>
      <c r="L380">
        <v>0.51349999999999996</v>
      </c>
    </row>
    <row r="381" spans="1:12">
      <c r="A381" t="s">
        <v>556</v>
      </c>
      <c r="B381">
        <v>0.5</v>
      </c>
      <c r="C381">
        <v>64</v>
      </c>
      <c r="D381" t="b">
        <v>0</v>
      </c>
      <c r="E381" t="s">
        <v>547</v>
      </c>
      <c r="F381" t="s">
        <v>532</v>
      </c>
      <c r="G381" t="s">
        <v>1</v>
      </c>
      <c r="H381">
        <v>40</v>
      </c>
      <c r="I381">
        <v>1.2938000000000001</v>
      </c>
      <c r="J381">
        <v>0.61050000000000004</v>
      </c>
      <c r="K381">
        <v>1.7628999999999999</v>
      </c>
      <c r="L381">
        <v>0.51949999999999996</v>
      </c>
    </row>
    <row r="382" spans="1:12">
      <c r="A382" t="s">
        <v>556</v>
      </c>
      <c r="B382">
        <v>0.5</v>
      </c>
      <c r="C382">
        <v>64</v>
      </c>
      <c r="D382" t="b">
        <v>0</v>
      </c>
      <c r="E382" t="s">
        <v>547</v>
      </c>
      <c r="F382" t="s">
        <v>532</v>
      </c>
      <c r="G382" t="s">
        <v>2</v>
      </c>
      <c r="H382">
        <v>40</v>
      </c>
      <c r="I382">
        <v>1.2408999999999999</v>
      </c>
      <c r="J382">
        <v>0.63160000000000005</v>
      </c>
      <c r="K382">
        <v>1.7119</v>
      </c>
      <c r="L382">
        <v>0.53900000000000003</v>
      </c>
    </row>
    <row r="383" spans="1:12">
      <c r="A383" t="s">
        <v>556</v>
      </c>
      <c r="B383">
        <v>0.5</v>
      </c>
      <c r="C383">
        <v>64</v>
      </c>
      <c r="D383" t="b">
        <v>0</v>
      </c>
      <c r="E383" t="s">
        <v>547</v>
      </c>
      <c r="F383" t="s">
        <v>532</v>
      </c>
      <c r="G383" t="s">
        <v>3</v>
      </c>
      <c r="H383">
        <v>39</v>
      </c>
      <c r="I383">
        <v>1.1850000000000001</v>
      </c>
      <c r="J383">
        <v>0.64449999999999996</v>
      </c>
      <c r="K383">
        <v>1.6915</v>
      </c>
      <c r="L383">
        <v>0.54649999999999999</v>
      </c>
    </row>
    <row r="384" spans="1:12">
      <c r="A384" t="s">
        <v>556</v>
      </c>
      <c r="B384">
        <v>0.5</v>
      </c>
      <c r="C384">
        <v>64</v>
      </c>
      <c r="D384" t="b">
        <v>0</v>
      </c>
      <c r="E384" t="s">
        <v>547</v>
      </c>
      <c r="F384" t="s">
        <v>532</v>
      </c>
      <c r="G384" t="s">
        <v>4</v>
      </c>
      <c r="H384">
        <v>39</v>
      </c>
      <c r="I384">
        <v>1.1357999999999999</v>
      </c>
      <c r="J384">
        <v>0.66690000000000005</v>
      </c>
      <c r="K384">
        <v>1.6559999999999999</v>
      </c>
      <c r="L384">
        <v>0.55649999999999999</v>
      </c>
    </row>
    <row r="385" spans="1:12">
      <c r="A385" t="s">
        <v>556</v>
      </c>
      <c r="B385">
        <v>0.5</v>
      </c>
      <c r="C385">
        <v>64</v>
      </c>
      <c r="D385" t="b">
        <v>0</v>
      </c>
      <c r="E385" t="s">
        <v>547</v>
      </c>
      <c r="F385" t="s">
        <v>532</v>
      </c>
      <c r="G385" t="s">
        <v>5</v>
      </c>
      <c r="H385">
        <v>39</v>
      </c>
      <c r="I385">
        <v>1.0564</v>
      </c>
      <c r="J385">
        <v>0.69089999999999996</v>
      </c>
      <c r="K385">
        <v>1.6901999999999999</v>
      </c>
      <c r="L385">
        <v>0.54600000000000004</v>
      </c>
    </row>
    <row r="386" spans="1:12">
      <c r="A386" t="s">
        <v>556</v>
      </c>
      <c r="B386">
        <v>0.5</v>
      </c>
      <c r="C386">
        <v>128</v>
      </c>
      <c r="D386" t="b">
        <v>0</v>
      </c>
      <c r="E386" t="s">
        <v>548</v>
      </c>
      <c r="F386" t="s">
        <v>531</v>
      </c>
      <c r="G386" t="s">
        <v>0</v>
      </c>
      <c r="H386">
        <v>59</v>
      </c>
      <c r="I386">
        <v>0.42249999999999999</v>
      </c>
      <c r="J386">
        <v>0.875</v>
      </c>
      <c r="K386">
        <v>2.0407999999999999</v>
      </c>
      <c r="L386">
        <v>0.51649999999999996</v>
      </c>
    </row>
    <row r="387" spans="1:12">
      <c r="A387" t="s">
        <v>556</v>
      </c>
      <c r="B387">
        <v>0.5</v>
      </c>
      <c r="C387">
        <v>128</v>
      </c>
      <c r="D387" t="b">
        <v>0</v>
      </c>
      <c r="E387" t="s">
        <v>548</v>
      </c>
      <c r="F387" t="s">
        <v>531</v>
      </c>
      <c r="G387" t="s">
        <v>1</v>
      </c>
      <c r="H387">
        <v>59</v>
      </c>
      <c r="I387">
        <v>0.3569</v>
      </c>
      <c r="J387">
        <v>0.89219999999999999</v>
      </c>
      <c r="K387">
        <v>2.048</v>
      </c>
      <c r="L387">
        <v>0.52249999999999996</v>
      </c>
    </row>
    <row r="388" spans="1:12">
      <c r="A388" t="s">
        <v>556</v>
      </c>
      <c r="B388">
        <v>0.5</v>
      </c>
      <c r="C388">
        <v>128</v>
      </c>
      <c r="D388" t="b">
        <v>0</v>
      </c>
      <c r="E388" t="s">
        <v>548</v>
      </c>
      <c r="F388" t="s">
        <v>531</v>
      </c>
      <c r="G388" t="s">
        <v>2</v>
      </c>
      <c r="H388">
        <v>59</v>
      </c>
      <c r="I388">
        <v>0.34200000000000003</v>
      </c>
      <c r="J388">
        <v>0.89949999999999997</v>
      </c>
      <c r="K388">
        <v>2.0590999999999999</v>
      </c>
      <c r="L388">
        <v>0.52749999999999997</v>
      </c>
    </row>
    <row r="389" spans="1:12">
      <c r="A389" t="s">
        <v>556</v>
      </c>
      <c r="B389">
        <v>0.5</v>
      </c>
      <c r="C389">
        <v>128</v>
      </c>
      <c r="D389" t="b">
        <v>0</v>
      </c>
      <c r="E389" t="s">
        <v>548</v>
      </c>
      <c r="F389" t="s">
        <v>531</v>
      </c>
      <c r="G389" t="s">
        <v>3</v>
      </c>
      <c r="H389">
        <v>59</v>
      </c>
      <c r="I389">
        <v>0.32440000000000002</v>
      </c>
      <c r="J389">
        <v>0.90439999999999998</v>
      </c>
      <c r="K389">
        <v>2.1166999999999998</v>
      </c>
      <c r="L389">
        <v>0.54549999999999998</v>
      </c>
    </row>
    <row r="390" spans="1:12">
      <c r="A390" t="s">
        <v>556</v>
      </c>
      <c r="B390">
        <v>0.5</v>
      </c>
      <c r="C390">
        <v>128</v>
      </c>
      <c r="D390" t="b">
        <v>0</v>
      </c>
      <c r="E390" t="s">
        <v>548</v>
      </c>
      <c r="F390" t="s">
        <v>531</v>
      </c>
      <c r="G390" t="s">
        <v>4</v>
      </c>
      <c r="H390">
        <v>59</v>
      </c>
      <c r="I390">
        <v>0.25840000000000002</v>
      </c>
      <c r="J390">
        <v>0.91949999999999998</v>
      </c>
      <c r="K390">
        <v>2.2275999999999998</v>
      </c>
      <c r="L390">
        <v>0.52149999999999996</v>
      </c>
    </row>
    <row r="391" spans="1:12">
      <c r="A391" t="s">
        <v>556</v>
      </c>
      <c r="B391">
        <v>0.5</v>
      </c>
      <c r="C391">
        <v>128</v>
      </c>
      <c r="D391" t="b">
        <v>0</v>
      </c>
      <c r="E391" t="s">
        <v>548</v>
      </c>
      <c r="F391" t="s">
        <v>531</v>
      </c>
      <c r="G391" t="s">
        <v>5</v>
      </c>
      <c r="H391">
        <v>59</v>
      </c>
      <c r="I391">
        <v>0.2576</v>
      </c>
      <c r="J391">
        <v>0.92300000000000004</v>
      </c>
      <c r="K391">
        <v>2.1863000000000001</v>
      </c>
      <c r="L391">
        <v>0.53100000000000003</v>
      </c>
    </row>
    <row r="392" spans="1:12">
      <c r="A392" t="s">
        <v>556</v>
      </c>
      <c r="B392">
        <v>0.5</v>
      </c>
      <c r="C392">
        <v>128</v>
      </c>
      <c r="D392" t="b">
        <v>0</v>
      </c>
      <c r="E392" t="s">
        <v>548</v>
      </c>
      <c r="F392" t="s">
        <v>532</v>
      </c>
      <c r="G392" t="s">
        <v>0</v>
      </c>
      <c r="H392">
        <v>58</v>
      </c>
      <c r="I392">
        <v>1.0277000000000001</v>
      </c>
      <c r="J392">
        <v>0.6925</v>
      </c>
      <c r="K392">
        <v>1.7102999999999999</v>
      </c>
      <c r="L392">
        <v>0.54049999999999998</v>
      </c>
    </row>
    <row r="393" spans="1:12">
      <c r="A393" t="s">
        <v>556</v>
      </c>
      <c r="B393">
        <v>0.5</v>
      </c>
      <c r="C393">
        <v>128</v>
      </c>
      <c r="D393" t="b">
        <v>0</v>
      </c>
      <c r="E393" t="s">
        <v>548</v>
      </c>
      <c r="F393" t="s">
        <v>532</v>
      </c>
      <c r="G393" t="s">
        <v>1</v>
      </c>
      <c r="H393">
        <v>58</v>
      </c>
      <c r="I393">
        <v>0.96250000000000002</v>
      </c>
      <c r="J393">
        <v>0.71689999999999998</v>
      </c>
      <c r="K393">
        <v>1.6711</v>
      </c>
      <c r="L393">
        <v>0.54449999999999998</v>
      </c>
    </row>
    <row r="394" spans="1:12">
      <c r="A394" t="s">
        <v>556</v>
      </c>
      <c r="B394">
        <v>0.5</v>
      </c>
      <c r="C394">
        <v>128</v>
      </c>
      <c r="D394" t="b">
        <v>0</v>
      </c>
      <c r="E394" t="s">
        <v>548</v>
      </c>
      <c r="F394" t="s">
        <v>532</v>
      </c>
      <c r="G394" t="s">
        <v>2</v>
      </c>
      <c r="H394">
        <v>58</v>
      </c>
      <c r="I394">
        <v>0.89229999999999998</v>
      </c>
      <c r="J394">
        <v>0.73370000000000002</v>
      </c>
      <c r="K394">
        <v>1.6407</v>
      </c>
      <c r="L394">
        <v>0.55449999999999999</v>
      </c>
    </row>
    <row r="395" spans="1:12">
      <c r="A395" t="s">
        <v>556</v>
      </c>
      <c r="B395">
        <v>0.5</v>
      </c>
      <c r="C395">
        <v>128</v>
      </c>
      <c r="D395" t="b">
        <v>0</v>
      </c>
      <c r="E395" t="s">
        <v>548</v>
      </c>
      <c r="F395" t="s">
        <v>532</v>
      </c>
      <c r="G395" t="s">
        <v>3</v>
      </c>
      <c r="H395">
        <v>58</v>
      </c>
      <c r="I395">
        <v>0.83930000000000005</v>
      </c>
      <c r="J395">
        <v>0.74939999999999996</v>
      </c>
      <c r="K395">
        <v>1.7178</v>
      </c>
      <c r="L395">
        <v>0.54949999999999999</v>
      </c>
    </row>
    <row r="396" spans="1:12">
      <c r="A396" t="s">
        <v>556</v>
      </c>
      <c r="B396">
        <v>0.5</v>
      </c>
      <c r="C396">
        <v>128</v>
      </c>
      <c r="D396" t="b">
        <v>0</v>
      </c>
      <c r="E396" t="s">
        <v>548</v>
      </c>
      <c r="F396" t="s">
        <v>532</v>
      </c>
      <c r="G396" t="s">
        <v>4</v>
      </c>
      <c r="H396">
        <v>61</v>
      </c>
      <c r="I396">
        <v>0.77539999999999998</v>
      </c>
      <c r="J396">
        <v>0.76959999999999995</v>
      </c>
      <c r="K396">
        <v>1.7491000000000001</v>
      </c>
      <c r="L396">
        <v>0.54200000000000004</v>
      </c>
    </row>
    <row r="397" spans="1:12">
      <c r="A397" t="s">
        <v>556</v>
      </c>
      <c r="B397">
        <v>0.5</v>
      </c>
      <c r="C397">
        <v>128</v>
      </c>
      <c r="D397" t="b">
        <v>0</v>
      </c>
      <c r="E397" t="s">
        <v>548</v>
      </c>
      <c r="F397" t="s">
        <v>532</v>
      </c>
      <c r="G397" t="s">
        <v>5</v>
      </c>
      <c r="H397">
        <v>58</v>
      </c>
      <c r="I397">
        <v>0.73229999999999995</v>
      </c>
      <c r="J397">
        <v>0.78090000000000004</v>
      </c>
      <c r="K397">
        <v>1.6818</v>
      </c>
      <c r="L397">
        <v>0.55500000000000005</v>
      </c>
    </row>
    <row r="398" spans="1:12">
      <c r="A398" t="s">
        <v>556</v>
      </c>
      <c r="B398">
        <v>0.5</v>
      </c>
      <c r="C398">
        <v>128</v>
      </c>
      <c r="D398" t="b">
        <v>0</v>
      </c>
      <c r="E398" t="s">
        <v>547</v>
      </c>
      <c r="F398" t="s">
        <v>531</v>
      </c>
      <c r="G398" t="s">
        <v>0</v>
      </c>
      <c r="H398">
        <v>61</v>
      </c>
      <c r="I398">
        <v>0.54490000000000005</v>
      </c>
      <c r="J398">
        <v>0.83950000000000002</v>
      </c>
      <c r="K398">
        <v>1.776</v>
      </c>
      <c r="L398">
        <v>0.55900000000000005</v>
      </c>
    </row>
    <row r="399" spans="1:12">
      <c r="A399" t="s">
        <v>556</v>
      </c>
      <c r="B399">
        <v>0.5</v>
      </c>
      <c r="C399">
        <v>128</v>
      </c>
      <c r="D399" t="b">
        <v>0</v>
      </c>
      <c r="E399" t="s">
        <v>547</v>
      </c>
      <c r="F399" t="s">
        <v>531</v>
      </c>
      <c r="G399" t="s">
        <v>1</v>
      </c>
      <c r="H399">
        <v>61</v>
      </c>
      <c r="I399">
        <v>0.46800000000000003</v>
      </c>
      <c r="J399">
        <v>0.8629</v>
      </c>
      <c r="K399">
        <v>1.8262</v>
      </c>
      <c r="L399">
        <v>0.53749999999999998</v>
      </c>
    </row>
    <row r="400" spans="1:12">
      <c r="A400" t="s">
        <v>556</v>
      </c>
      <c r="B400">
        <v>0.5</v>
      </c>
      <c r="C400">
        <v>128</v>
      </c>
      <c r="D400" t="b">
        <v>0</v>
      </c>
      <c r="E400" t="s">
        <v>547</v>
      </c>
      <c r="F400" t="s">
        <v>531</v>
      </c>
      <c r="G400" t="s">
        <v>2</v>
      </c>
      <c r="H400">
        <v>61</v>
      </c>
      <c r="I400">
        <v>0.41399999999999998</v>
      </c>
      <c r="J400">
        <v>0.87549999999999994</v>
      </c>
      <c r="K400">
        <v>1.8562000000000001</v>
      </c>
      <c r="L400">
        <v>0.54649999999999999</v>
      </c>
    </row>
    <row r="401" spans="1:12">
      <c r="A401" t="s">
        <v>556</v>
      </c>
      <c r="B401">
        <v>0.5</v>
      </c>
      <c r="C401">
        <v>128</v>
      </c>
      <c r="D401" t="b">
        <v>0</v>
      </c>
      <c r="E401" t="s">
        <v>547</v>
      </c>
      <c r="F401" t="s">
        <v>531</v>
      </c>
      <c r="G401" t="s">
        <v>3</v>
      </c>
      <c r="H401">
        <v>62</v>
      </c>
      <c r="I401">
        <v>0.37640000000000001</v>
      </c>
      <c r="J401">
        <v>0.88719999999999999</v>
      </c>
      <c r="K401">
        <v>1.8843000000000001</v>
      </c>
      <c r="L401">
        <v>0.55349999999999999</v>
      </c>
    </row>
    <row r="402" spans="1:12">
      <c r="A402" t="s">
        <v>556</v>
      </c>
      <c r="B402">
        <v>0.5</v>
      </c>
      <c r="C402">
        <v>128</v>
      </c>
      <c r="D402" t="b">
        <v>0</v>
      </c>
      <c r="E402" t="s">
        <v>547</v>
      </c>
      <c r="F402" t="s">
        <v>531</v>
      </c>
      <c r="G402" t="s">
        <v>4</v>
      </c>
      <c r="H402">
        <v>61</v>
      </c>
      <c r="I402">
        <v>0.33789999999999998</v>
      </c>
      <c r="J402">
        <v>0.90290000000000004</v>
      </c>
      <c r="K402">
        <v>1.9470000000000001</v>
      </c>
      <c r="L402">
        <v>0.55149999999999999</v>
      </c>
    </row>
    <row r="403" spans="1:12">
      <c r="A403" t="s">
        <v>556</v>
      </c>
      <c r="B403">
        <v>0.5</v>
      </c>
      <c r="C403">
        <v>128</v>
      </c>
      <c r="D403" t="b">
        <v>0</v>
      </c>
      <c r="E403" t="s">
        <v>547</v>
      </c>
      <c r="F403" t="s">
        <v>531</v>
      </c>
      <c r="G403" t="s">
        <v>5</v>
      </c>
      <c r="H403">
        <v>61</v>
      </c>
      <c r="I403">
        <v>0.30859999999999999</v>
      </c>
      <c r="J403">
        <v>0.91190000000000004</v>
      </c>
      <c r="K403">
        <v>1.9359999999999999</v>
      </c>
      <c r="L403">
        <v>0.54200000000000004</v>
      </c>
    </row>
    <row r="404" spans="1:12">
      <c r="A404" t="s">
        <v>556</v>
      </c>
      <c r="B404">
        <v>0.5</v>
      </c>
      <c r="C404">
        <v>128</v>
      </c>
      <c r="D404" t="b">
        <v>0</v>
      </c>
      <c r="E404" t="s">
        <v>547</v>
      </c>
      <c r="F404" t="s">
        <v>532</v>
      </c>
      <c r="G404" t="s">
        <v>0</v>
      </c>
      <c r="H404">
        <v>61</v>
      </c>
      <c r="I404">
        <v>1.2748999999999999</v>
      </c>
      <c r="J404">
        <v>0.61209999999999998</v>
      </c>
      <c r="K404">
        <v>1.6859999999999999</v>
      </c>
      <c r="L404">
        <v>0.54249999999999998</v>
      </c>
    </row>
    <row r="405" spans="1:12">
      <c r="A405" t="s">
        <v>556</v>
      </c>
      <c r="B405">
        <v>0.5</v>
      </c>
      <c r="C405">
        <v>128</v>
      </c>
      <c r="D405" t="b">
        <v>0</v>
      </c>
      <c r="E405" t="s">
        <v>547</v>
      </c>
      <c r="F405" t="s">
        <v>532</v>
      </c>
      <c r="G405" t="s">
        <v>1</v>
      </c>
      <c r="H405">
        <v>61</v>
      </c>
      <c r="I405">
        <v>1.1859</v>
      </c>
      <c r="J405">
        <v>0.64610000000000001</v>
      </c>
      <c r="K405">
        <v>1.6675</v>
      </c>
      <c r="L405">
        <v>0.54500000000000004</v>
      </c>
    </row>
    <row r="406" spans="1:12">
      <c r="A406" t="s">
        <v>556</v>
      </c>
      <c r="B406">
        <v>0.5</v>
      </c>
      <c r="C406">
        <v>128</v>
      </c>
      <c r="D406" t="b">
        <v>0</v>
      </c>
      <c r="E406" t="s">
        <v>547</v>
      </c>
      <c r="F406" t="s">
        <v>532</v>
      </c>
      <c r="G406" t="s">
        <v>2</v>
      </c>
      <c r="H406">
        <v>61</v>
      </c>
      <c r="I406">
        <v>1.1060000000000001</v>
      </c>
      <c r="J406">
        <v>0.67279999999999995</v>
      </c>
      <c r="K406">
        <v>1.6292</v>
      </c>
      <c r="L406">
        <v>0.55249999999999999</v>
      </c>
    </row>
    <row r="407" spans="1:12">
      <c r="A407" t="s">
        <v>556</v>
      </c>
      <c r="B407">
        <v>0.5</v>
      </c>
      <c r="C407">
        <v>128</v>
      </c>
      <c r="D407" t="b">
        <v>0</v>
      </c>
      <c r="E407" t="s">
        <v>547</v>
      </c>
      <c r="F407" t="s">
        <v>532</v>
      </c>
      <c r="G407" t="s">
        <v>3</v>
      </c>
      <c r="H407">
        <v>61</v>
      </c>
      <c r="I407">
        <v>1.0429999999999999</v>
      </c>
      <c r="J407">
        <v>0.6875</v>
      </c>
      <c r="K407">
        <v>1.6319999999999999</v>
      </c>
      <c r="L407">
        <v>0.5585</v>
      </c>
    </row>
    <row r="408" spans="1:12">
      <c r="A408" t="s">
        <v>556</v>
      </c>
      <c r="B408">
        <v>0.5</v>
      </c>
      <c r="C408">
        <v>128</v>
      </c>
      <c r="D408" t="b">
        <v>0</v>
      </c>
      <c r="E408" t="s">
        <v>547</v>
      </c>
      <c r="F408" t="s">
        <v>532</v>
      </c>
      <c r="G408" t="s">
        <v>4</v>
      </c>
      <c r="H408">
        <v>61</v>
      </c>
      <c r="I408">
        <v>1.0021</v>
      </c>
      <c r="J408">
        <v>0.70689999999999997</v>
      </c>
      <c r="K408">
        <v>1.6754</v>
      </c>
      <c r="L408">
        <v>0.54900000000000004</v>
      </c>
    </row>
    <row r="409" spans="1:12">
      <c r="A409" t="s">
        <v>556</v>
      </c>
      <c r="B409">
        <v>0.5</v>
      </c>
      <c r="C409">
        <v>128</v>
      </c>
      <c r="D409" t="b">
        <v>0</v>
      </c>
      <c r="E409" t="s">
        <v>547</v>
      </c>
      <c r="F409" t="s">
        <v>532</v>
      </c>
      <c r="G409" t="s">
        <v>5</v>
      </c>
      <c r="H409">
        <v>61</v>
      </c>
      <c r="I409">
        <v>0.95069999999999999</v>
      </c>
      <c r="J409">
        <v>0.71630000000000005</v>
      </c>
      <c r="K409">
        <v>1.6247</v>
      </c>
      <c r="L409">
        <v>0.55249999999999999</v>
      </c>
    </row>
    <row r="410" spans="1:12">
      <c r="A410" t="s">
        <v>556</v>
      </c>
      <c r="B410">
        <v>0.5</v>
      </c>
      <c r="C410">
        <v>256</v>
      </c>
      <c r="D410" t="b">
        <v>0</v>
      </c>
      <c r="E410" t="s">
        <v>548</v>
      </c>
      <c r="F410" t="s">
        <v>531</v>
      </c>
      <c r="G410" t="s">
        <v>0</v>
      </c>
      <c r="H410">
        <v>116</v>
      </c>
      <c r="I410">
        <v>0.39350000000000002</v>
      </c>
      <c r="J410">
        <v>0.88339999999999996</v>
      </c>
      <c r="K410">
        <v>1.8731</v>
      </c>
      <c r="L410">
        <v>0.54700000000000004</v>
      </c>
    </row>
    <row r="411" spans="1:12">
      <c r="A411" t="s">
        <v>556</v>
      </c>
      <c r="B411">
        <v>0.5</v>
      </c>
      <c r="C411">
        <v>256</v>
      </c>
      <c r="D411" t="b">
        <v>0</v>
      </c>
      <c r="E411" t="s">
        <v>548</v>
      </c>
      <c r="F411" t="s">
        <v>531</v>
      </c>
      <c r="G411" t="s">
        <v>1</v>
      </c>
      <c r="H411">
        <v>117</v>
      </c>
      <c r="I411">
        <v>0.34810000000000002</v>
      </c>
      <c r="J411">
        <v>0.89739999999999998</v>
      </c>
      <c r="K411">
        <v>1.9120999999999999</v>
      </c>
      <c r="L411">
        <v>0.53500000000000003</v>
      </c>
    </row>
    <row r="412" spans="1:12">
      <c r="A412" t="s">
        <v>556</v>
      </c>
      <c r="B412">
        <v>0.5</v>
      </c>
      <c r="C412">
        <v>256</v>
      </c>
      <c r="D412" t="b">
        <v>0</v>
      </c>
      <c r="E412" t="s">
        <v>548</v>
      </c>
      <c r="F412" t="s">
        <v>531</v>
      </c>
      <c r="G412" t="s">
        <v>2</v>
      </c>
      <c r="H412">
        <v>117</v>
      </c>
      <c r="I412">
        <v>0.30769999999999997</v>
      </c>
      <c r="J412">
        <v>0.90710000000000002</v>
      </c>
      <c r="K412">
        <v>1.8931</v>
      </c>
      <c r="L412">
        <v>0.54949999999999999</v>
      </c>
    </row>
    <row r="413" spans="1:12">
      <c r="A413" t="s">
        <v>556</v>
      </c>
      <c r="B413">
        <v>0.5</v>
      </c>
      <c r="C413">
        <v>256</v>
      </c>
      <c r="D413" t="b">
        <v>0</v>
      </c>
      <c r="E413" t="s">
        <v>548</v>
      </c>
      <c r="F413" t="s">
        <v>531</v>
      </c>
      <c r="G413" t="s">
        <v>3</v>
      </c>
      <c r="H413">
        <v>117</v>
      </c>
      <c r="I413">
        <v>0.26150000000000001</v>
      </c>
      <c r="J413">
        <v>0.92110000000000003</v>
      </c>
      <c r="K413">
        <v>1.9630000000000001</v>
      </c>
      <c r="L413">
        <v>0.54549999999999998</v>
      </c>
    </row>
    <row r="414" spans="1:12">
      <c r="A414" t="s">
        <v>556</v>
      </c>
      <c r="B414">
        <v>0.5</v>
      </c>
      <c r="C414">
        <v>256</v>
      </c>
      <c r="D414" t="b">
        <v>0</v>
      </c>
      <c r="E414" t="s">
        <v>548</v>
      </c>
      <c r="F414" t="s">
        <v>531</v>
      </c>
      <c r="G414" t="s">
        <v>4</v>
      </c>
      <c r="H414">
        <v>117</v>
      </c>
      <c r="I414">
        <v>0.24610000000000001</v>
      </c>
      <c r="J414">
        <v>0.92889999999999995</v>
      </c>
      <c r="K414">
        <v>2.0402</v>
      </c>
      <c r="L414">
        <v>0.54700000000000004</v>
      </c>
    </row>
    <row r="415" spans="1:12">
      <c r="A415" t="s">
        <v>556</v>
      </c>
      <c r="B415">
        <v>0.5</v>
      </c>
      <c r="C415">
        <v>256</v>
      </c>
      <c r="D415" t="b">
        <v>0</v>
      </c>
      <c r="E415" t="s">
        <v>548</v>
      </c>
      <c r="F415" t="s">
        <v>531</v>
      </c>
      <c r="G415" t="s">
        <v>5</v>
      </c>
      <c r="H415">
        <v>117</v>
      </c>
      <c r="I415">
        <v>0.22239999999999999</v>
      </c>
      <c r="J415">
        <v>0.93259999999999998</v>
      </c>
      <c r="K415">
        <v>2.1109</v>
      </c>
      <c r="L415">
        <v>0.52249999999999996</v>
      </c>
    </row>
    <row r="416" spans="1:12">
      <c r="A416" t="s">
        <v>556</v>
      </c>
      <c r="B416">
        <v>0.5</v>
      </c>
      <c r="C416">
        <v>256</v>
      </c>
      <c r="D416" t="b">
        <v>0</v>
      </c>
      <c r="E416" t="s">
        <v>548</v>
      </c>
      <c r="F416" t="s">
        <v>532</v>
      </c>
      <c r="G416" t="s">
        <v>0</v>
      </c>
      <c r="H416">
        <v>116</v>
      </c>
      <c r="I416">
        <v>1.0350999999999999</v>
      </c>
      <c r="J416">
        <v>0.68789999999999996</v>
      </c>
      <c r="K416">
        <v>1.6573</v>
      </c>
      <c r="L416">
        <v>0.55000000000000004</v>
      </c>
    </row>
    <row r="417" spans="1:12">
      <c r="A417" t="s">
        <v>556</v>
      </c>
      <c r="B417">
        <v>0.5</v>
      </c>
      <c r="C417">
        <v>256</v>
      </c>
      <c r="D417" t="b">
        <v>0</v>
      </c>
      <c r="E417" t="s">
        <v>548</v>
      </c>
      <c r="F417" t="s">
        <v>532</v>
      </c>
      <c r="G417" t="s">
        <v>1</v>
      </c>
      <c r="H417">
        <v>115</v>
      </c>
      <c r="I417">
        <v>0.9728</v>
      </c>
      <c r="J417">
        <v>0.70409999999999995</v>
      </c>
      <c r="K417">
        <v>1.6774</v>
      </c>
      <c r="L417">
        <v>0.55600000000000005</v>
      </c>
    </row>
    <row r="418" spans="1:12">
      <c r="A418" t="s">
        <v>556</v>
      </c>
      <c r="B418">
        <v>0.5</v>
      </c>
      <c r="C418">
        <v>256</v>
      </c>
      <c r="D418" t="b">
        <v>0</v>
      </c>
      <c r="E418" t="s">
        <v>548</v>
      </c>
      <c r="F418" t="s">
        <v>532</v>
      </c>
      <c r="G418" t="s">
        <v>2</v>
      </c>
      <c r="H418">
        <v>115</v>
      </c>
      <c r="I418">
        <v>0.90600000000000003</v>
      </c>
      <c r="J418">
        <v>0.7238</v>
      </c>
      <c r="K418">
        <v>1.6475</v>
      </c>
      <c r="L418">
        <v>0.55649999999999999</v>
      </c>
    </row>
    <row r="419" spans="1:12">
      <c r="A419" t="s">
        <v>556</v>
      </c>
      <c r="B419">
        <v>0.5</v>
      </c>
      <c r="C419">
        <v>256</v>
      </c>
      <c r="D419" t="b">
        <v>0</v>
      </c>
      <c r="E419" t="s">
        <v>548</v>
      </c>
      <c r="F419" t="s">
        <v>532</v>
      </c>
      <c r="G419" t="s">
        <v>3</v>
      </c>
      <c r="H419">
        <v>115</v>
      </c>
      <c r="I419">
        <v>0.83020000000000005</v>
      </c>
      <c r="J419">
        <v>0.74919999999999998</v>
      </c>
      <c r="K419">
        <v>1.704</v>
      </c>
      <c r="L419">
        <v>0.55149999999999999</v>
      </c>
    </row>
    <row r="420" spans="1:12">
      <c r="A420" t="s">
        <v>556</v>
      </c>
      <c r="B420">
        <v>0.5</v>
      </c>
      <c r="C420">
        <v>256</v>
      </c>
      <c r="D420" t="b">
        <v>0</v>
      </c>
      <c r="E420" t="s">
        <v>548</v>
      </c>
      <c r="F420" t="s">
        <v>532</v>
      </c>
      <c r="G420" t="s">
        <v>4</v>
      </c>
      <c r="H420">
        <v>115</v>
      </c>
      <c r="I420">
        <v>0.78420000000000001</v>
      </c>
      <c r="J420">
        <v>0.76719999999999999</v>
      </c>
      <c r="K420">
        <v>1.7341</v>
      </c>
      <c r="L420">
        <v>0.54449999999999998</v>
      </c>
    </row>
    <row r="421" spans="1:12">
      <c r="A421" t="s">
        <v>556</v>
      </c>
      <c r="B421">
        <v>0.5</v>
      </c>
      <c r="C421">
        <v>256</v>
      </c>
      <c r="D421" t="b">
        <v>0</v>
      </c>
      <c r="E421" t="s">
        <v>548</v>
      </c>
      <c r="F421" t="s">
        <v>532</v>
      </c>
      <c r="G421" t="s">
        <v>5</v>
      </c>
      <c r="H421">
        <v>115</v>
      </c>
      <c r="I421">
        <v>0.71260000000000001</v>
      </c>
      <c r="J421">
        <v>0.78159999999999996</v>
      </c>
      <c r="K421">
        <v>1.7443</v>
      </c>
      <c r="L421">
        <v>0.55600000000000005</v>
      </c>
    </row>
    <row r="422" spans="1:12">
      <c r="A422" t="s">
        <v>556</v>
      </c>
      <c r="B422">
        <v>0.5</v>
      </c>
      <c r="C422">
        <v>256</v>
      </c>
      <c r="D422" t="b">
        <v>0</v>
      </c>
      <c r="E422" t="s">
        <v>547</v>
      </c>
      <c r="F422" t="s">
        <v>531</v>
      </c>
      <c r="G422" t="s">
        <v>0</v>
      </c>
      <c r="H422">
        <v>119</v>
      </c>
      <c r="I422">
        <v>0.45700000000000002</v>
      </c>
      <c r="J422">
        <v>0.86409999999999998</v>
      </c>
      <c r="K422">
        <v>1.8371</v>
      </c>
      <c r="L422">
        <v>0.54200000000000004</v>
      </c>
    </row>
    <row r="423" spans="1:12">
      <c r="A423" t="s">
        <v>556</v>
      </c>
      <c r="B423">
        <v>0.5</v>
      </c>
      <c r="C423">
        <v>256</v>
      </c>
      <c r="D423" t="b">
        <v>0</v>
      </c>
      <c r="E423" t="s">
        <v>547</v>
      </c>
      <c r="F423" t="s">
        <v>531</v>
      </c>
      <c r="G423" t="s">
        <v>1</v>
      </c>
      <c r="H423">
        <v>119</v>
      </c>
      <c r="I423">
        <v>0.40279999999999999</v>
      </c>
      <c r="J423">
        <v>0.88080000000000003</v>
      </c>
      <c r="K423">
        <v>1.8489</v>
      </c>
      <c r="L423">
        <v>0.54649999999999999</v>
      </c>
    </row>
    <row r="424" spans="1:12">
      <c r="A424" t="s">
        <v>556</v>
      </c>
      <c r="B424">
        <v>0.5</v>
      </c>
      <c r="C424">
        <v>256</v>
      </c>
      <c r="D424" t="b">
        <v>0</v>
      </c>
      <c r="E424" t="s">
        <v>547</v>
      </c>
      <c r="F424" t="s">
        <v>531</v>
      </c>
      <c r="G424" t="s">
        <v>2</v>
      </c>
      <c r="H424">
        <v>118</v>
      </c>
      <c r="I424">
        <v>0.34470000000000001</v>
      </c>
      <c r="J424">
        <v>0.89590000000000003</v>
      </c>
      <c r="K424">
        <v>1.9369000000000001</v>
      </c>
      <c r="L424">
        <v>0.54200000000000004</v>
      </c>
    </row>
    <row r="425" spans="1:12">
      <c r="A425" t="s">
        <v>556</v>
      </c>
      <c r="B425">
        <v>0.5</v>
      </c>
      <c r="C425">
        <v>256</v>
      </c>
      <c r="D425" t="b">
        <v>0</v>
      </c>
      <c r="E425" t="s">
        <v>547</v>
      </c>
      <c r="F425" t="s">
        <v>531</v>
      </c>
      <c r="G425" t="s">
        <v>3</v>
      </c>
      <c r="H425">
        <v>119</v>
      </c>
      <c r="I425">
        <v>0.31319999999999998</v>
      </c>
      <c r="J425">
        <v>0.90900000000000003</v>
      </c>
      <c r="K425">
        <v>1.9819</v>
      </c>
      <c r="L425">
        <v>0.55100000000000005</v>
      </c>
    </row>
    <row r="426" spans="1:12">
      <c r="A426" t="s">
        <v>556</v>
      </c>
      <c r="B426">
        <v>0.5</v>
      </c>
      <c r="C426">
        <v>256</v>
      </c>
      <c r="D426" t="b">
        <v>0</v>
      </c>
      <c r="E426" t="s">
        <v>547</v>
      </c>
      <c r="F426" t="s">
        <v>531</v>
      </c>
      <c r="G426" t="s">
        <v>4</v>
      </c>
      <c r="H426">
        <v>119</v>
      </c>
      <c r="I426">
        <v>0.2913</v>
      </c>
      <c r="J426">
        <v>0.91539999999999999</v>
      </c>
      <c r="K426">
        <v>1.9677</v>
      </c>
      <c r="L426">
        <v>0.55300000000000005</v>
      </c>
    </row>
    <row r="427" spans="1:12">
      <c r="A427" t="s">
        <v>556</v>
      </c>
      <c r="B427">
        <v>0.5</v>
      </c>
      <c r="C427">
        <v>256</v>
      </c>
      <c r="D427" t="b">
        <v>0</v>
      </c>
      <c r="E427" t="s">
        <v>547</v>
      </c>
      <c r="F427" t="s">
        <v>531</v>
      </c>
      <c r="G427" t="s">
        <v>5</v>
      </c>
      <c r="H427">
        <v>119</v>
      </c>
      <c r="I427">
        <v>0.25090000000000001</v>
      </c>
      <c r="J427">
        <v>0.92769999999999997</v>
      </c>
      <c r="K427">
        <v>2.0655000000000001</v>
      </c>
      <c r="L427">
        <v>0.52549999999999997</v>
      </c>
    </row>
    <row r="428" spans="1:12">
      <c r="A428" t="s">
        <v>556</v>
      </c>
      <c r="B428">
        <v>0.5</v>
      </c>
      <c r="C428">
        <v>256</v>
      </c>
      <c r="D428" t="b">
        <v>0</v>
      </c>
      <c r="E428" t="s">
        <v>547</v>
      </c>
      <c r="F428" t="s">
        <v>532</v>
      </c>
      <c r="G428" t="s">
        <v>0</v>
      </c>
      <c r="H428">
        <v>120</v>
      </c>
      <c r="I428">
        <v>1.1919</v>
      </c>
      <c r="J428">
        <v>0.64219999999999999</v>
      </c>
      <c r="K428">
        <v>1.6545000000000001</v>
      </c>
      <c r="L428">
        <v>0.55000000000000004</v>
      </c>
    </row>
    <row r="429" spans="1:12">
      <c r="A429" t="s">
        <v>556</v>
      </c>
      <c r="B429">
        <v>0.5</v>
      </c>
      <c r="C429">
        <v>256</v>
      </c>
      <c r="D429" t="b">
        <v>0</v>
      </c>
      <c r="E429" t="s">
        <v>547</v>
      </c>
      <c r="F429" t="s">
        <v>532</v>
      </c>
      <c r="G429" t="s">
        <v>1</v>
      </c>
      <c r="H429">
        <v>120</v>
      </c>
      <c r="I429">
        <v>1.1079000000000001</v>
      </c>
      <c r="J429">
        <v>0.66959999999999997</v>
      </c>
      <c r="K429">
        <v>1.6716</v>
      </c>
      <c r="L429">
        <v>0.54900000000000004</v>
      </c>
    </row>
    <row r="430" spans="1:12">
      <c r="A430" t="s">
        <v>556</v>
      </c>
      <c r="B430">
        <v>0.5</v>
      </c>
      <c r="C430">
        <v>256</v>
      </c>
      <c r="D430" t="b">
        <v>0</v>
      </c>
      <c r="E430" t="s">
        <v>547</v>
      </c>
      <c r="F430" t="s">
        <v>532</v>
      </c>
      <c r="G430" t="s">
        <v>2</v>
      </c>
      <c r="H430">
        <v>120</v>
      </c>
      <c r="I430">
        <v>1.0327</v>
      </c>
      <c r="J430">
        <v>0.68710000000000004</v>
      </c>
      <c r="K430">
        <v>1.6281000000000001</v>
      </c>
      <c r="L430">
        <v>0.55900000000000005</v>
      </c>
    </row>
    <row r="431" spans="1:12">
      <c r="A431" t="s">
        <v>556</v>
      </c>
      <c r="B431">
        <v>0.5</v>
      </c>
      <c r="C431">
        <v>256</v>
      </c>
      <c r="D431" t="b">
        <v>0</v>
      </c>
      <c r="E431" t="s">
        <v>547</v>
      </c>
      <c r="F431" t="s">
        <v>532</v>
      </c>
      <c r="G431" t="s">
        <v>3</v>
      </c>
      <c r="H431">
        <v>120</v>
      </c>
      <c r="I431">
        <v>0.98160000000000003</v>
      </c>
      <c r="J431">
        <v>0.70150000000000001</v>
      </c>
      <c r="K431">
        <v>1.5972999999999999</v>
      </c>
      <c r="L431">
        <v>0.57350000000000001</v>
      </c>
    </row>
    <row r="432" spans="1:12">
      <c r="A432" t="s">
        <v>556</v>
      </c>
      <c r="B432">
        <v>0.5</v>
      </c>
      <c r="C432">
        <v>256</v>
      </c>
      <c r="D432" t="b">
        <v>0</v>
      </c>
      <c r="E432" t="s">
        <v>547</v>
      </c>
      <c r="F432" t="s">
        <v>532</v>
      </c>
      <c r="G432" t="s">
        <v>4</v>
      </c>
      <c r="H432">
        <v>120</v>
      </c>
      <c r="I432">
        <v>0.92490000000000006</v>
      </c>
      <c r="J432">
        <v>0.72360000000000002</v>
      </c>
      <c r="K432">
        <v>1.6735</v>
      </c>
      <c r="L432">
        <v>0.55200000000000005</v>
      </c>
    </row>
    <row r="433" spans="1:12">
      <c r="A433" t="s">
        <v>556</v>
      </c>
      <c r="B433">
        <v>0.5</v>
      </c>
      <c r="C433">
        <v>256</v>
      </c>
      <c r="D433" t="b">
        <v>0</v>
      </c>
      <c r="E433" t="s">
        <v>547</v>
      </c>
      <c r="F433" t="s">
        <v>532</v>
      </c>
      <c r="G433" t="s">
        <v>5</v>
      </c>
      <c r="H433">
        <v>120</v>
      </c>
      <c r="I433">
        <v>0.86160000000000003</v>
      </c>
      <c r="J433">
        <v>0.74039999999999995</v>
      </c>
      <c r="K433">
        <v>1.6245000000000001</v>
      </c>
      <c r="L433">
        <v>0.56699999999999995</v>
      </c>
    </row>
  </sheetData>
  <pageMargins left="0.75" right="0.75" top="1" bottom="1" header="0.5" footer="0.5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T19"/>
  <sheetViews>
    <sheetView workbookViewId="0">
      <selection activeCell="S5" sqref="S5"/>
    </sheetView>
  </sheetViews>
  <sheetFormatPr baseColWidth="10" defaultRowHeight="15" x14ac:dyDescent="0"/>
  <cols>
    <col min="1" max="1" width="13" customWidth="1"/>
    <col min="2" max="5" width="12.1640625" bestFit="1" customWidth="1"/>
    <col min="6" max="6" width="16.1640625" bestFit="1" customWidth="1"/>
    <col min="7" max="7" width="7.83203125" customWidth="1"/>
    <col min="9" max="14" width="8.83203125" customWidth="1"/>
    <col min="15" max="20" width="9.33203125" customWidth="1"/>
  </cols>
  <sheetData>
    <row r="3" spans="1:20">
      <c r="B3" s="3" t="s">
        <v>9</v>
      </c>
    </row>
    <row r="4" spans="1:20" ht="30">
      <c r="A4" s="3" t="s">
        <v>7</v>
      </c>
      <c r="B4" t="s">
        <v>557</v>
      </c>
      <c r="C4" t="s">
        <v>18</v>
      </c>
      <c r="D4" t="s">
        <v>558</v>
      </c>
      <c r="E4" t="s">
        <v>21</v>
      </c>
      <c r="H4" s="7" t="s">
        <v>6</v>
      </c>
      <c r="I4" s="20" t="s">
        <v>560</v>
      </c>
      <c r="J4" s="21" t="str">
        <f>CONCATENATE($A$5, " ", LOWER(C4))</f>
        <v>LSTM avg loss</v>
      </c>
      <c r="K4" s="22" t="s">
        <v>559</v>
      </c>
      <c r="L4" s="20" t="s">
        <v>561</v>
      </c>
      <c r="M4" s="21" t="str">
        <f>CONCATENATE($A$5, " avg loss")</f>
        <v>LSTM avg loss</v>
      </c>
      <c r="N4" s="22" t="s">
        <v>562</v>
      </c>
      <c r="O4" s="20" t="s">
        <v>563</v>
      </c>
      <c r="P4" s="21" t="str">
        <f>CONCATENATE($A$12, " - ", LOWER(C4))</f>
        <v>GRU - avg loss</v>
      </c>
      <c r="Q4" s="22" t="s">
        <v>564</v>
      </c>
      <c r="R4" s="20" t="s">
        <v>565</v>
      </c>
      <c r="S4" s="21" t="str">
        <f>CONCATENATE($A12, " avg loss")</f>
        <v>GRU avg loss</v>
      </c>
      <c r="T4" s="22" t="s">
        <v>566</v>
      </c>
    </row>
    <row r="5" spans="1:20">
      <c r="A5" s="4" t="s">
        <v>528</v>
      </c>
      <c r="B5" s="2">
        <v>0.2627275697795341</v>
      </c>
      <c r="C5" s="2">
        <v>1.9745412037037045</v>
      </c>
      <c r="D5" s="2">
        <v>1.5906931997481909E-2</v>
      </c>
      <c r="E5" s="2">
        <v>0.53203009259259282</v>
      </c>
      <c r="H5" s="6" t="s">
        <v>10</v>
      </c>
      <c r="I5" s="23">
        <f>C6+B6</f>
        <v>2.1092825510332789</v>
      </c>
      <c r="J5" s="10">
        <f>C6</f>
        <v>1.9263027777777779</v>
      </c>
      <c r="K5" s="24">
        <f>C6-B6</f>
        <v>1.7433230045222767</v>
      </c>
      <c r="L5" s="23">
        <f>E6+D6</f>
        <v>0.53480924660575535</v>
      </c>
      <c r="M5" s="10">
        <f>E6</f>
        <v>0.52170833333333322</v>
      </c>
      <c r="N5" s="24">
        <f>E6-D6</f>
        <v>0.50860742006091109</v>
      </c>
      <c r="O5" s="23">
        <f>C13+B13</f>
        <v>2.0593643330098943</v>
      </c>
      <c r="P5" s="10">
        <f>C13</f>
        <v>1.8712083333333334</v>
      </c>
      <c r="Q5" s="24">
        <f>C13-B13</f>
        <v>1.6830523336567722</v>
      </c>
      <c r="R5" s="23">
        <f>E13+D13</f>
        <v>0.55037284052998858</v>
      </c>
      <c r="S5" s="10">
        <f>E13</f>
        <v>0.53470833333333356</v>
      </c>
      <c r="T5" s="24">
        <f>E13-D13</f>
        <v>0.51904382613667854</v>
      </c>
    </row>
    <row r="6" spans="1:20">
      <c r="A6" s="5" t="s">
        <v>0</v>
      </c>
      <c r="B6" s="2">
        <v>0.18297977325550113</v>
      </c>
      <c r="C6" s="2">
        <v>1.9263027777777779</v>
      </c>
      <c r="D6" s="2">
        <v>1.3100913272422104E-2</v>
      </c>
      <c r="E6" s="2">
        <v>0.52170833333333322</v>
      </c>
      <c r="H6" s="6" t="s">
        <v>11</v>
      </c>
      <c r="I6" s="23">
        <f t="shared" ref="I6:I10" si="0">C7+B7</f>
        <v>2.1610597559529388</v>
      </c>
      <c r="J6" s="10">
        <f t="shared" ref="J6:J10" si="1">C7</f>
        <v>1.9384972222222221</v>
      </c>
      <c r="K6" s="24">
        <f t="shared" ref="K6:K10" si="2">C7-B7</f>
        <v>1.7159346884915054</v>
      </c>
      <c r="L6" s="23">
        <f t="shared" ref="L6:L10" si="3">E7+D7</f>
        <v>0.54285568503825399</v>
      </c>
      <c r="M6" s="10">
        <f t="shared" ref="M6:M10" si="4">E7</f>
        <v>0.52969444444444447</v>
      </c>
      <c r="N6" s="24">
        <f t="shared" ref="N6:N10" si="5">E7-D7</f>
        <v>0.51653320385063495</v>
      </c>
      <c r="O6" s="23">
        <f t="shared" ref="O6:O10" si="6">C14+B14</f>
        <v>2.1296895467479056</v>
      </c>
      <c r="P6" s="10">
        <f t="shared" ref="P6:P10" si="7">C14</f>
        <v>1.9098777777777778</v>
      </c>
      <c r="Q6" s="24">
        <f t="shared" ref="Q6:Q10" si="8">C14-B14</f>
        <v>1.6900660088076498</v>
      </c>
      <c r="R6" s="23">
        <f t="shared" ref="R6:R10" si="9">E14+D14</f>
        <v>0.55040557396566092</v>
      </c>
      <c r="S6" s="10">
        <f t="shared" ref="S6:S10" si="10">E14</f>
        <v>0.53400000000000014</v>
      </c>
      <c r="T6" s="24">
        <f t="shared" ref="T6:T10" si="11">E14-D14</f>
        <v>0.51759442603433936</v>
      </c>
    </row>
    <row r="7" spans="1:20">
      <c r="A7" s="5" t="s">
        <v>1</v>
      </c>
      <c r="B7" s="2">
        <v>0.22256253373071669</v>
      </c>
      <c r="C7" s="2">
        <v>1.9384972222222221</v>
      </c>
      <c r="D7" s="2">
        <v>1.3161240593809556E-2</v>
      </c>
      <c r="E7" s="2">
        <v>0.52969444444444447</v>
      </c>
      <c r="H7" s="6" t="s">
        <v>12</v>
      </c>
      <c r="I7" s="23">
        <f t="shared" si="0"/>
        <v>2.2066871578888643</v>
      </c>
      <c r="J7" s="10">
        <f t="shared" si="1"/>
        <v>1.9483916666666663</v>
      </c>
      <c r="K7" s="24">
        <f t="shared" si="2"/>
        <v>1.6900961754444683</v>
      </c>
      <c r="L7" s="23">
        <f t="shared" si="3"/>
        <v>0.55029524986238354</v>
      </c>
      <c r="M7" s="10">
        <f t="shared" si="4"/>
        <v>0.53608333333333325</v>
      </c>
      <c r="N7" s="24">
        <f t="shared" si="5"/>
        <v>0.52187141680428295</v>
      </c>
      <c r="O7" s="23">
        <f t="shared" si="6"/>
        <v>2.1477924198877618</v>
      </c>
      <c r="P7" s="10">
        <f t="shared" si="7"/>
        <v>1.9216888888888886</v>
      </c>
      <c r="Q7" s="24">
        <f t="shared" si="8"/>
        <v>1.6955853578900151</v>
      </c>
      <c r="R7" s="23">
        <f t="shared" si="9"/>
        <v>0.55341711904147362</v>
      </c>
      <c r="S7" s="10">
        <f t="shared" si="10"/>
        <v>0.53675000000000006</v>
      </c>
      <c r="T7" s="24">
        <f t="shared" si="11"/>
        <v>0.52008288095852651</v>
      </c>
    </row>
    <row r="8" spans="1:20">
      <c r="A8" s="5" t="s">
        <v>2</v>
      </c>
      <c r="B8" s="2">
        <v>0.25829549122219797</v>
      </c>
      <c r="C8" s="2">
        <v>1.9483916666666663</v>
      </c>
      <c r="D8" s="2">
        <v>1.4211916529050286E-2</v>
      </c>
      <c r="E8" s="2">
        <v>0.53608333333333325</v>
      </c>
      <c r="H8" s="6" t="s">
        <v>13</v>
      </c>
      <c r="I8" s="23">
        <f t="shared" si="0"/>
        <v>2.2538424146570732</v>
      </c>
      <c r="J8" s="10">
        <f t="shared" si="1"/>
        <v>1.9831749999999997</v>
      </c>
      <c r="K8" s="24">
        <f t="shared" si="2"/>
        <v>1.7125075853429261</v>
      </c>
      <c r="L8" s="23">
        <f t="shared" si="3"/>
        <v>0.54945972655066133</v>
      </c>
      <c r="M8" s="10">
        <f t="shared" si="4"/>
        <v>0.53440277777777778</v>
      </c>
      <c r="N8" s="24">
        <f t="shared" si="5"/>
        <v>0.51934582900489423</v>
      </c>
      <c r="O8" s="23">
        <f t="shared" si="6"/>
        <v>2.1812443785679765</v>
      </c>
      <c r="P8" s="10">
        <f t="shared" si="7"/>
        <v>1.9437083333333329</v>
      </c>
      <c r="Q8" s="24">
        <f t="shared" si="8"/>
        <v>1.7061722880986896</v>
      </c>
      <c r="R8" s="23">
        <f t="shared" si="9"/>
        <v>0.55624736293841615</v>
      </c>
      <c r="S8" s="10">
        <f t="shared" si="10"/>
        <v>0.53794444444444434</v>
      </c>
      <c r="T8" s="24">
        <f t="shared" si="11"/>
        <v>0.51964152595047253</v>
      </c>
    </row>
    <row r="9" spans="1:20">
      <c r="A9" s="5" t="s">
        <v>3</v>
      </c>
      <c r="B9" s="2">
        <v>0.27066741465707345</v>
      </c>
      <c r="C9" s="2">
        <v>1.9831749999999997</v>
      </c>
      <c r="D9" s="2">
        <v>1.5056948772883605E-2</v>
      </c>
      <c r="E9" s="2">
        <v>0.53440277777777778</v>
      </c>
      <c r="H9" s="6" t="s">
        <v>14</v>
      </c>
      <c r="I9" s="23">
        <f t="shared" si="0"/>
        <v>2.32413472781418</v>
      </c>
      <c r="J9" s="10">
        <f t="shared" si="1"/>
        <v>2.0146694444444444</v>
      </c>
      <c r="K9" s="24">
        <f t="shared" si="2"/>
        <v>1.7052041610747088</v>
      </c>
      <c r="L9" s="23">
        <f t="shared" si="3"/>
        <v>0.55162317690908158</v>
      </c>
      <c r="M9" s="10">
        <f t="shared" si="4"/>
        <v>0.53418055555555577</v>
      </c>
      <c r="N9" s="24">
        <f t="shared" si="5"/>
        <v>0.51673793420202996</v>
      </c>
      <c r="O9" s="23">
        <f t="shared" si="6"/>
        <v>2.2273634936261062</v>
      </c>
      <c r="P9" s="10">
        <f t="shared" si="7"/>
        <v>1.9752277777777776</v>
      </c>
      <c r="Q9" s="24">
        <f t="shared" si="8"/>
        <v>1.7230920619294487</v>
      </c>
      <c r="R9" s="23">
        <f t="shared" si="9"/>
        <v>0.55360183581475964</v>
      </c>
      <c r="S9" s="10">
        <f t="shared" si="10"/>
        <v>0.53620833333333329</v>
      </c>
      <c r="T9" s="24">
        <f t="shared" si="11"/>
        <v>0.51881483085190694</v>
      </c>
    </row>
    <row r="10" spans="1:20">
      <c r="A10" s="5" t="s">
        <v>4</v>
      </c>
      <c r="B10" s="2">
        <v>0.30946528336973561</v>
      </c>
      <c r="C10" s="2">
        <v>2.0146694444444444</v>
      </c>
      <c r="D10" s="2">
        <v>1.7442621353525811E-2</v>
      </c>
      <c r="E10" s="2">
        <v>0.53418055555555577</v>
      </c>
      <c r="H10" s="6" t="s">
        <v>15</v>
      </c>
      <c r="I10" s="25">
        <f t="shared" si="0"/>
        <v>2.3447168348623944</v>
      </c>
      <c r="J10" s="26">
        <f t="shared" si="1"/>
        <v>2.0362111111111107</v>
      </c>
      <c r="K10" s="27">
        <f t="shared" si="2"/>
        <v>1.7277053873598271</v>
      </c>
      <c r="L10" s="25">
        <f t="shared" si="3"/>
        <v>0.5539092294350475</v>
      </c>
      <c r="M10" s="26">
        <f t="shared" si="4"/>
        <v>0.5361111111111112</v>
      </c>
      <c r="N10" s="27">
        <f t="shared" si="5"/>
        <v>0.51831299278717491</v>
      </c>
      <c r="O10" s="25">
        <f t="shared" si="6"/>
        <v>2.2753386809062865</v>
      </c>
      <c r="P10" s="26">
        <f t="shared" si="7"/>
        <v>2.0080194444444444</v>
      </c>
      <c r="Q10" s="27">
        <f t="shared" si="8"/>
        <v>1.7407002079826024</v>
      </c>
      <c r="R10" s="28">
        <f t="shared" si="9"/>
        <v>0.55392919047967215</v>
      </c>
      <c r="S10" s="29">
        <f t="shared" si="10"/>
        <v>0.53661111111111126</v>
      </c>
      <c r="T10" s="30">
        <f t="shared" si="11"/>
        <v>0.51929303174255037</v>
      </c>
    </row>
    <row r="11" spans="1:20">
      <c r="A11" s="5" t="s">
        <v>5</v>
      </c>
      <c r="B11" s="2">
        <v>0.30850572375128366</v>
      </c>
      <c r="C11" s="2">
        <v>2.0362111111111107</v>
      </c>
      <c r="D11" s="2">
        <v>1.7798118323936334E-2</v>
      </c>
      <c r="E11" s="2">
        <v>0.5361111111111112</v>
      </c>
    </row>
    <row r="12" spans="1:20">
      <c r="A12" s="4" t="s">
        <v>556</v>
      </c>
      <c r="B12" s="2">
        <v>0.23473515507525247</v>
      </c>
      <c r="C12" s="2">
        <v>1.9382884259259272</v>
      </c>
      <c r="D12" s="2">
        <v>1.6832513347639376E-2</v>
      </c>
      <c r="E12" s="2">
        <v>0.5360370370370372</v>
      </c>
    </row>
    <row r="13" spans="1:20">
      <c r="A13" s="5" t="s">
        <v>0</v>
      </c>
      <c r="B13" s="2">
        <v>0.1881559996765611</v>
      </c>
      <c r="C13" s="2">
        <v>1.8712083333333334</v>
      </c>
      <c r="D13" s="2">
        <v>1.5664507196655044E-2</v>
      </c>
      <c r="E13" s="2">
        <v>0.53470833333333356</v>
      </c>
    </row>
    <row r="14" spans="1:20">
      <c r="A14" s="5" t="s">
        <v>1</v>
      </c>
      <c r="B14" s="2">
        <v>0.21981176897012797</v>
      </c>
      <c r="C14" s="2">
        <v>1.9098777777777778</v>
      </c>
      <c r="D14" s="2">
        <v>1.6405573965660815E-2</v>
      </c>
      <c r="E14" s="2">
        <v>0.53400000000000014</v>
      </c>
    </row>
    <row r="15" spans="1:20">
      <c r="A15" s="5" t="s">
        <v>2</v>
      </c>
      <c r="B15" s="2">
        <v>0.22610353099887348</v>
      </c>
      <c r="C15" s="2">
        <v>1.9216888888888886</v>
      </c>
      <c r="D15" s="2">
        <v>1.6667119041473576E-2</v>
      </c>
      <c r="E15" s="2">
        <v>0.53675000000000006</v>
      </c>
    </row>
    <row r="16" spans="1:20">
      <c r="A16" s="5" t="s">
        <v>3</v>
      </c>
      <c r="B16" s="2">
        <v>0.23753604523464333</v>
      </c>
      <c r="C16" s="2">
        <v>1.9437083333333329</v>
      </c>
      <c r="D16" s="2">
        <v>1.8302918493971792E-2</v>
      </c>
      <c r="E16" s="2">
        <v>0.53794444444444434</v>
      </c>
    </row>
    <row r="17" spans="1:5">
      <c r="A17" s="5" t="s">
        <v>4</v>
      </c>
      <c r="B17" s="2">
        <v>0.25213571584832878</v>
      </c>
      <c r="C17" s="2">
        <v>1.9752277777777776</v>
      </c>
      <c r="D17" s="2">
        <v>1.7393502481426404E-2</v>
      </c>
      <c r="E17" s="2">
        <v>0.53620833333333329</v>
      </c>
    </row>
    <row r="18" spans="1:5">
      <c r="A18" s="5" t="s">
        <v>5</v>
      </c>
      <c r="B18" s="2">
        <v>0.26731923646184197</v>
      </c>
      <c r="C18" s="2">
        <v>2.0080194444444444</v>
      </c>
      <c r="D18" s="2">
        <v>1.7318079368560918E-2</v>
      </c>
      <c r="E18" s="2">
        <v>0.53661111111111126</v>
      </c>
    </row>
    <row r="19" spans="1:5">
      <c r="A19" s="4" t="s">
        <v>8</v>
      </c>
      <c r="B19" s="2">
        <v>0.24949652237176334</v>
      </c>
      <c r="C19" s="2">
        <v>1.9564148148148146</v>
      </c>
      <c r="D19" s="2">
        <v>1.6479774801791604E-2</v>
      </c>
      <c r="E19" s="2">
        <v>0.53403356481481523</v>
      </c>
    </row>
  </sheetData>
  <pageMargins left="0.75" right="0.75" top="1" bottom="1" header="0.5" footer="0.5"/>
  <pageSetup orientation="portrait" horizontalDpi="4294967292" verticalDpi="4294967292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U19"/>
  <sheetViews>
    <sheetView workbookViewId="0">
      <selection activeCell="J16" sqref="J16"/>
    </sheetView>
  </sheetViews>
  <sheetFormatPr baseColWidth="10" defaultRowHeight="15" x14ac:dyDescent="0"/>
  <cols>
    <col min="1" max="1" width="13" customWidth="1"/>
    <col min="2" max="2" width="8.6640625" bestFit="1" customWidth="1"/>
    <col min="3" max="3" width="12.1640625" bestFit="1" customWidth="1"/>
    <col min="4" max="4" width="8.33203125" bestFit="1" customWidth="1"/>
    <col min="5" max="5" width="10.1640625" bestFit="1" customWidth="1"/>
    <col min="6" max="6" width="12.1640625" customWidth="1"/>
    <col min="7" max="7" width="7.83203125" customWidth="1"/>
    <col min="8" max="8" width="16.1640625" customWidth="1"/>
    <col min="10" max="21" width="12.1640625" customWidth="1"/>
  </cols>
  <sheetData>
    <row r="3" spans="1:21">
      <c r="B3" s="3" t="s">
        <v>9</v>
      </c>
    </row>
    <row r="4" spans="1:21" ht="30">
      <c r="A4" s="3" t="s">
        <v>7</v>
      </c>
      <c r="B4" t="s">
        <v>19</v>
      </c>
      <c r="C4" t="s">
        <v>18</v>
      </c>
      <c r="D4" t="s">
        <v>20</v>
      </c>
      <c r="E4" t="s">
        <v>541</v>
      </c>
      <c r="F4" t="s">
        <v>21</v>
      </c>
      <c r="G4" t="s">
        <v>22</v>
      </c>
      <c r="I4" s="7" t="s">
        <v>6</v>
      </c>
      <c r="J4" s="8" t="str">
        <f>CONCATENATE($A$5, " - ", LOWER(B4))</f>
        <v>LSTM - max loss</v>
      </c>
      <c r="K4" s="8" t="str">
        <f t="shared" ref="K4:O4" si="0">CONCATENATE($A$5, " - ", LOWER(C4))</f>
        <v>LSTM - avg loss</v>
      </c>
      <c r="L4" s="8" t="str">
        <f t="shared" si="0"/>
        <v>LSTM - min loss</v>
      </c>
      <c r="M4" s="8" t="str">
        <f t="shared" si="0"/>
        <v>LSTM - max of acc</v>
      </c>
      <c r="N4" s="8" t="str">
        <f t="shared" si="0"/>
        <v>LSTM - avg acc</v>
      </c>
      <c r="O4" s="8" t="str">
        <f t="shared" si="0"/>
        <v>LSTM - min acc</v>
      </c>
      <c r="P4" s="8" t="str">
        <f>CONCATENATE($A$12, " - ", LOWER(B4))</f>
        <v>GRU - max loss</v>
      </c>
      <c r="Q4" s="8" t="str">
        <f t="shared" ref="Q4:U4" si="1">CONCATENATE($A$12, " - ", LOWER(C4))</f>
        <v>GRU - avg loss</v>
      </c>
      <c r="R4" s="8" t="str">
        <f t="shared" si="1"/>
        <v>GRU - min loss</v>
      </c>
      <c r="S4" s="8" t="str">
        <f t="shared" si="1"/>
        <v>GRU - max of acc</v>
      </c>
      <c r="T4" s="8" t="str">
        <f t="shared" si="1"/>
        <v>GRU - avg acc</v>
      </c>
      <c r="U4" s="8" t="str">
        <f t="shared" si="1"/>
        <v>GRU - min acc</v>
      </c>
    </row>
    <row r="5" spans="1:21">
      <c r="A5" s="4" t="s">
        <v>528</v>
      </c>
      <c r="B5" s="2">
        <v>2.6053000000000002</v>
      </c>
      <c r="C5" s="2">
        <v>1.9745412037037045</v>
      </c>
      <c r="D5" s="2">
        <v>1.6083000000000001</v>
      </c>
      <c r="E5" s="2">
        <v>0.56850000000000001</v>
      </c>
      <c r="F5" s="2">
        <v>0.53203009259259282</v>
      </c>
      <c r="G5" s="2">
        <v>0.48799999999999999</v>
      </c>
      <c r="I5" s="6" t="s">
        <v>10</v>
      </c>
      <c r="J5" s="10">
        <f>B6</f>
        <v>2.3136000000000001</v>
      </c>
      <c r="K5" s="10">
        <f t="shared" ref="K5:O10" si="2">C6</f>
        <v>1.9263027777777779</v>
      </c>
      <c r="L5" s="10">
        <f t="shared" si="2"/>
        <v>1.6588000000000001</v>
      </c>
      <c r="M5" s="10">
        <f t="shared" si="2"/>
        <v>0.55449999999999999</v>
      </c>
      <c r="N5" s="10">
        <f t="shared" si="2"/>
        <v>0.52170833333333322</v>
      </c>
      <c r="O5" s="10">
        <f t="shared" si="2"/>
        <v>0.48799999999999999</v>
      </c>
      <c r="P5" s="10">
        <f>B13</f>
        <v>2.2473999999999998</v>
      </c>
      <c r="Q5" s="10">
        <f t="shared" ref="Q5:U5" si="3">C13</f>
        <v>1.8712083333333334</v>
      </c>
      <c r="R5" s="10">
        <f t="shared" si="3"/>
        <v>1.6055999999999999</v>
      </c>
      <c r="S5" s="10">
        <f t="shared" si="3"/>
        <v>0.55900000000000005</v>
      </c>
      <c r="T5" s="10">
        <f t="shared" si="3"/>
        <v>0.53470833333333356</v>
      </c>
      <c r="U5" s="10">
        <f t="shared" si="3"/>
        <v>0.50749999999999995</v>
      </c>
    </row>
    <row r="6" spans="1:21">
      <c r="A6" s="5" t="s">
        <v>0</v>
      </c>
      <c r="B6" s="2">
        <v>2.3136000000000001</v>
      </c>
      <c r="C6" s="2">
        <v>1.9263027777777779</v>
      </c>
      <c r="D6" s="2">
        <v>1.6588000000000001</v>
      </c>
      <c r="E6" s="2">
        <v>0.55449999999999999</v>
      </c>
      <c r="F6" s="2">
        <v>0.52170833333333322</v>
      </c>
      <c r="G6" s="2">
        <v>0.48799999999999999</v>
      </c>
      <c r="I6" s="6" t="s">
        <v>11</v>
      </c>
      <c r="J6" s="10">
        <f t="shared" ref="J6:J10" si="4">B7</f>
        <v>2.4001999999999999</v>
      </c>
      <c r="K6" s="10">
        <f t="shared" si="2"/>
        <v>1.9384972222222221</v>
      </c>
      <c r="L6" s="10">
        <f t="shared" si="2"/>
        <v>1.6236999999999999</v>
      </c>
      <c r="M6" s="10">
        <f t="shared" si="2"/>
        <v>0.56299999999999994</v>
      </c>
      <c r="N6" s="10">
        <f t="shared" si="2"/>
        <v>0.52969444444444447</v>
      </c>
      <c r="O6" s="10">
        <f t="shared" si="2"/>
        <v>0.50949999999999995</v>
      </c>
      <c r="P6" s="10">
        <f t="shared" ref="P6:U10" si="5">B14</f>
        <v>2.4148000000000001</v>
      </c>
      <c r="Q6" s="10">
        <f t="shared" si="5"/>
        <v>1.9098777777777778</v>
      </c>
      <c r="R6" s="10">
        <f t="shared" si="5"/>
        <v>1.6620999999999999</v>
      </c>
      <c r="S6" s="10">
        <f t="shared" si="5"/>
        <v>0.56599999999999995</v>
      </c>
      <c r="T6" s="10">
        <f t="shared" si="5"/>
        <v>0.53400000000000014</v>
      </c>
      <c r="U6" s="10">
        <f t="shared" si="5"/>
        <v>0.496</v>
      </c>
    </row>
    <row r="7" spans="1:21">
      <c r="A7" s="5" t="s">
        <v>1</v>
      </c>
      <c r="B7" s="2">
        <v>2.4001999999999999</v>
      </c>
      <c r="C7" s="2">
        <v>1.9384972222222221</v>
      </c>
      <c r="D7" s="2">
        <v>1.6236999999999999</v>
      </c>
      <c r="E7" s="2">
        <v>0.56299999999999994</v>
      </c>
      <c r="F7" s="2">
        <v>0.52969444444444447</v>
      </c>
      <c r="G7" s="2">
        <v>0.50949999999999995</v>
      </c>
      <c r="I7" s="6" t="s">
        <v>12</v>
      </c>
      <c r="J7" s="10">
        <f t="shared" si="4"/>
        <v>2.3824999999999998</v>
      </c>
      <c r="K7" s="10">
        <f t="shared" si="2"/>
        <v>1.9483916666666663</v>
      </c>
      <c r="L7" s="10">
        <f t="shared" si="2"/>
        <v>1.6083000000000001</v>
      </c>
      <c r="M7" s="10">
        <f t="shared" si="2"/>
        <v>0.56850000000000001</v>
      </c>
      <c r="N7" s="10">
        <f t="shared" si="2"/>
        <v>0.53608333333333325</v>
      </c>
      <c r="O7" s="10">
        <f t="shared" si="2"/>
        <v>0.504</v>
      </c>
      <c r="P7" s="10">
        <f t="shared" si="5"/>
        <v>2.4049999999999998</v>
      </c>
      <c r="Q7" s="10">
        <f t="shared" si="5"/>
        <v>1.9216888888888886</v>
      </c>
      <c r="R7" s="10">
        <f t="shared" si="5"/>
        <v>1.6281000000000001</v>
      </c>
      <c r="S7" s="10">
        <f t="shared" si="5"/>
        <v>0.5615</v>
      </c>
      <c r="T7" s="10">
        <f t="shared" si="5"/>
        <v>0.53675000000000006</v>
      </c>
      <c r="U7" s="10">
        <f t="shared" si="5"/>
        <v>0.4945</v>
      </c>
    </row>
    <row r="8" spans="1:21">
      <c r="A8" s="5" t="s">
        <v>2</v>
      </c>
      <c r="B8" s="2">
        <v>2.3824999999999998</v>
      </c>
      <c r="C8" s="2">
        <v>1.9483916666666663</v>
      </c>
      <c r="D8" s="2">
        <v>1.6083000000000001</v>
      </c>
      <c r="E8" s="2">
        <v>0.56850000000000001</v>
      </c>
      <c r="F8" s="2">
        <v>0.53608333333333325</v>
      </c>
      <c r="G8" s="2">
        <v>0.504</v>
      </c>
      <c r="I8" s="6" t="s">
        <v>13</v>
      </c>
      <c r="J8" s="10">
        <f t="shared" si="4"/>
        <v>2.5337999999999998</v>
      </c>
      <c r="K8" s="10">
        <f t="shared" si="2"/>
        <v>1.9831749999999997</v>
      </c>
      <c r="L8" s="10">
        <f t="shared" si="2"/>
        <v>1.6688000000000001</v>
      </c>
      <c r="M8" s="10">
        <f t="shared" si="2"/>
        <v>0.56000000000000005</v>
      </c>
      <c r="N8" s="10">
        <f t="shared" si="2"/>
        <v>0.53440277777777778</v>
      </c>
      <c r="O8" s="10">
        <f t="shared" si="2"/>
        <v>0.4945</v>
      </c>
      <c r="P8" s="10">
        <f t="shared" si="5"/>
        <v>2.3706999999999998</v>
      </c>
      <c r="Q8" s="10">
        <f t="shared" si="5"/>
        <v>1.9437083333333329</v>
      </c>
      <c r="R8" s="10">
        <f t="shared" si="5"/>
        <v>1.5972999999999999</v>
      </c>
      <c r="S8" s="10">
        <f t="shared" si="5"/>
        <v>0.57350000000000001</v>
      </c>
      <c r="T8" s="10">
        <f t="shared" si="5"/>
        <v>0.53794444444444434</v>
      </c>
      <c r="U8" s="10">
        <f t="shared" si="5"/>
        <v>0.501</v>
      </c>
    </row>
    <row r="9" spans="1:21">
      <c r="A9" s="5" t="s">
        <v>3</v>
      </c>
      <c r="B9" s="2">
        <v>2.5337999999999998</v>
      </c>
      <c r="C9" s="2">
        <v>1.9831749999999997</v>
      </c>
      <c r="D9" s="2">
        <v>1.6688000000000001</v>
      </c>
      <c r="E9" s="2">
        <v>0.56000000000000005</v>
      </c>
      <c r="F9" s="2">
        <v>0.53440277777777778</v>
      </c>
      <c r="G9" s="2">
        <v>0.4945</v>
      </c>
      <c r="I9" s="6" t="s">
        <v>14</v>
      </c>
      <c r="J9" s="10">
        <f t="shared" si="4"/>
        <v>2.516</v>
      </c>
      <c r="K9" s="10">
        <f t="shared" si="2"/>
        <v>2.0146694444444444</v>
      </c>
      <c r="L9" s="10">
        <f t="shared" si="2"/>
        <v>1.6259999999999999</v>
      </c>
      <c r="M9" s="10">
        <f t="shared" si="2"/>
        <v>0.5595</v>
      </c>
      <c r="N9" s="10">
        <f t="shared" si="2"/>
        <v>0.53418055555555577</v>
      </c>
      <c r="O9" s="10">
        <f t="shared" si="2"/>
        <v>0.48899999999999999</v>
      </c>
      <c r="P9" s="10">
        <f t="shared" si="5"/>
        <v>2.4268999999999998</v>
      </c>
      <c r="Q9" s="10">
        <f t="shared" si="5"/>
        <v>1.9752277777777776</v>
      </c>
      <c r="R9" s="10">
        <f t="shared" si="5"/>
        <v>1.639</v>
      </c>
      <c r="S9" s="10">
        <f t="shared" si="5"/>
        <v>0.5605</v>
      </c>
      <c r="T9" s="10">
        <f t="shared" si="5"/>
        <v>0.53620833333333329</v>
      </c>
      <c r="U9" s="10">
        <f t="shared" si="5"/>
        <v>0.49199999999999999</v>
      </c>
    </row>
    <row r="10" spans="1:21">
      <c r="A10" s="5" t="s">
        <v>4</v>
      </c>
      <c r="B10" s="2">
        <v>2.516</v>
      </c>
      <c r="C10" s="2">
        <v>2.0146694444444444</v>
      </c>
      <c r="D10" s="2">
        <v>1.6259999999999999</v>
      </c>
      <c r="E10" s="2">
        <v>0.5595</v>
      </c>
      <c r="F10" s="2">
        <v>0.53418055555555577</v>
      </c>
      <c r="G10" s="2">
        <v>0.48899999999999999</v>
      </c>
      <c r="I10" s="6" t="s">
        <v>15</v>
      </c>
      <c r="J10" s="10">
        <f t="shared" si="4"/>
        <v>2.6053000000000002</v>
      </c>
      <c r="K10" s="10">
        <f t="shared" si="2"/>
        <v>2.0362111111111107</v>
      </c>
      <c r="L10" s="10">
        <f t="shared" si="2"/>
        <v>1.6587000000000001</v>
      </c>
      <c r="M10" s="10">
        <f t="shared" si="2"/>
        <v>0.56799999999999995</v>
      </c>
      <c r="N10" s="10">
        <f t="shared" si="2"/>
        <v>0.5361111111111112</v>
      </c>
      <c r="O10" s="10">
        <f t="shared" si="2"/>
        <v>0.505</v>
      </c>
      <c r="P10" s="10">
        <f t="shared" si="5"/>
        <v>2.42</v>
      </c>
      <c r="Q10" s="10">
        <f t="shared" si="5"/>
        <v>2.0080194444444444</v>
      </c>
      <c r="R10" s="10">
        <f t="shared" si="5"/>
        <v>1.6245000000000001</v>
      </c>
      <c r="S10" s="10">
        <f t="shared" si="5"/>
        <v>0.56699999999999995</v>
      </c>
      <c r="T10" s="10">
        <f t="shared" si="5"/>
        <v>0.53661111111111126</v>
      </c>
      <c r="U10" s="10">
        <f t="shared" si="5"/>
        <v>0.499</v>
      </c>
    </row>
    <row r="11" spans="1:21">
      <c r="A11" s="5" t="s">
        <v>5</v>
      </c>
      <c r="B11" s="2">
        <v>2.6053000000000002</v>
      </c>
      <c r="C11" s="2">
        <v>2.0362111111111107</v>
      </c>
      <c r="D11" s="2">
        <v>1.6587000000000001</v>
      </c>
      <c r="E11" s="2">
        <v>0.56799999999999995</v>
      </c>
      <c r="F11" s="2">
        <v>0.5361111111111112</v>
      </c>
      <c r="G11" s="2">
        <v>0.505</v>
      </c>
    </row>
    <row r="12" spans="1:21">
      <c r="A12" s="4" t="s">
        <v>556</v>
      </c>
      <c r="B12" s="2">
        <v>2.4268999999999998</v>
      </c>
      <c r="C12" s="2">
        <v>1.9382884259259272</v>
      </c>
      <c r="D12" s="2">
        <v>1.5972999999999999</v>
      </c>
      <c r="E12" s="2">
        <v>0.57350000000000001</v>
      </c>
      <c r="F12" s="2">
        <v>0.5360370370370372</v>
      </c>
      <c r="G12" s="2">
        <v>0.49199999999999999</v>
      </c>
    </row>
    <row r="13" spans="1:21">
      <c r="A13" s="5" t="s">
        <v>0</v>
      </c>
      <c r="B13" s="2">
        <v>2.2473999999999998</v>
      </c>
      <c r="C13" s="2">
        <v>1.8712083333333334</v>
      </c>
      <c r="D13" s="2">
        <v>1.6055999999999999</v>
      </c>
      <c r="E13" s="2">
        <v>0.55900000000000005</v>
      </c>
      <c r="F13" s="2">
        <v>0.53470833333333356</v>
      </c>
      <c r="G13" s="2">
        <v>0.50749999999999995</v>
      </c>
    </row>
    <row r="14" spans="1:21">
      <c r="A14" s="5" t="s">
        <v>1</v>
      </c>
      <c r="B14" s="2">
        <v>2.4148000000000001</v>
      </c>
      <c r="C14" s="2">
        <v>1.9098777777777778</v>
      </c>
      <c r="D14" s="2">
        <v>1.6620999999999999</v>
      </c>
      <c r="E14" s="2">
        <v>0.56599999999999995</v>
      </c>
      <c r="F14" s="2">
        <v>0.53400000000000014</v>
      </c>
      <c r="G14" s="2">
        <v>0.496</v>
      </c>
    </row>
    <row r="15" spans="1:21">
      <c r="A15" s="5" t="s">
        <v>2</v>
      </c>
      <c r="B15" s="2">
        <v>2.4049999999999998</v>
      </c>
      <c r="C15" s="2">
        <v>1.9216888888888886</v>
      </c>
      <c r="D15" s="2">
        <v>1.6281000000000001</v>
      </c>
      <c r="E15" s="2">
        <v>0.5615</v>
      </c>
      <c r="F15" s="2">
        <v>0.53675000000000006</v>
      </c>
      <c r="G15" s="2">
        <v>0.4945</v>
      </c>
    </row>
    <row r="16" spans="1:21">
      <c r="A16" s="5" t="s">
        <v>3</v>
      </c>
      <c r="B16" s="2">
        <v>2.3706999999999998</v>
      </c>
      <c r="C16" s="2">
        <v>1.9437083333333329</v>
      </c>
      <c r="D16" s="2">
        <v>1.5972999999999999</v>
      </c>
      <c r="E16" s="2">
        <v>0.57350000000000001</v>
      </c>
      <c r="F16" s="2">
        <v>0.53794444444444434</v>
      </c>
      <c r="G16" s="2">
        <v>0.501</v>
      </c>
    </row>
    <row r="17" spans="1:7">
      <c r="A17" s="5" t="s">
        <v>4</v>
      </c>
      <c r="B17" s="2">
        <v>2.4268999999999998</v>
      </c>
      <c r="C17" s="2">
        <v>1.9752277777777776</v>
      </c>
      <c r="D17" s="2">
        <v>1.639</v>
      </c>
      <c r="E17" s="2">
        <v>0.5605</v>
      </c>
      <c r="F17" s="2">
        <v>0.53620833333333329</v>
      </c>
      <c r="G17" s="2">
        <v>0.49199999999999999</v>
      </c>
    </row>
    <row r="18" spans="1:7">
      <c r="A18" s="5" t="s">
        <v>5</v>
      </c>
      <c r="B18" s="2">
        <v>2.42</v>
      </c>
      <c r="C18" s="2">
        <v>2.0080194444444444</v>
      </c>
      <c r="D18" s="2">
        <v>1.6245000000000001</v>
      </c>
      <c r="E18" s="2">
        <v>0.56699999999999995</v>
      </c>
      <c r="F18" s="2">
        <v>0.53661111111111126</v>
      </c>
      <c r="G18" s="2">
        <v>0.499</v>
      </c>
    </row>
    <row r="19" spans="1:7">
      <c r="A19" s="4" t="s">
        <v>8</v>
      </c>
      <c r="B19" s="2">
        <v>2.6053000000000002</v>
      </c>
      <c r="C19" s="2">
        <v>1.9564148148148146</v>
      </c>
      <c r="D19" s="2">
        <v>1.5972999999999999</v>
      </c>
      <c r="E19" s="2">
        <v>0.57350000000000001</v>
      </c>
      <c r="F19" s="2">
        <v>0.53403356481481523</v>
      </c>
      <c r="G19" s="2">
        <v>0.48799999999999999</v>
      </c>
    </row>
  </sheetData>
  <pageMargins left="0.75" right="0.75" top="1" bottom="1" header="0.5" footer="0.5"/>
  <pageSetup orientation="portrait" horizontalDpi="4294967292" verticalDpi="4294967292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U19"/>
  <sheetViews>
    <sheetView workbookViewId="0">
      <selection activeCell="C7" sqref="C7"/>
    </sheetView>
  </sheetViews>
  <sheetFormatPr baseColWidth="10" defaultRowHeight="15" x14ac:dyDescent="0"/>
  <cols>
    <col min="1" max="1" width="13" customWidth="1"/>
    <col min="2" max="2" width="8.6640625" bestFit="1" customWidth="1"/>
    <col min="3" max="3" width="12.1640625" bestFit="1" customWidth="1"/>
    <col min="4" max="4" width="8.33203125" bestFit="1" customWidth="1"/>
    <col min="5" max="5" width="10.1640625" bestFit="1" customWidth="1"/>
    <col min="6" max="6" width="12.1640625" customWidth="1"/>
    <col min="7" max="7" width="7.83203125" customWidth="1"/>
    <col min="8" max="8" width="17.6640625" customWidth="1"/>
    <col min="10" max="15" width="8.83203125" customWidth="1"/>
    <col min="16" max="21" width="9.33203125" customWidth="1"/>
  </cols>
  <sheetData>
    <row r="3" spans="1:21">
      <c r="B3" s="3" t="s">
        <v>9</v>
      </c>
    </row>
    <row r="4" spans="1:21" ht="45">
      <c r="A4" s="3" t="s">
        <v>7</v>
      </c>
      <c r="B4" t="s">
        <v>19</v>
      </c>
      <c r="C4" t="s">
        <v>18</v>
      </c>
      <c r="D4" t="s">
        <v>20</v>
      </c>
      <c r="E4" t="s">
        <v>541</v>
      </c>
      <c r="F4" t="s">
        <v>21</v>
      </c>
      <c r="G4" t="s">
        <v>22</v>
      </c>
      <c r="I4" s="7" t="s">
        <v>6</v>
      </c>
      <c r="J4" s="8" t="str">
        <f>CONCATENATE($A$5, " - ", LOWER(B4))</f>
        <v>FALSE - max loss</v>
      </c>
      <c r="K4" s="8" t="str">
        <f t="shared" ref="K4:O4" si="0">CONCATENATE($A$5, " - ", LOWER(C4))</f>
        <v>FALSE - avg loss</v>
      </c>
      <c r="L4" s="8" t="str">
        <f t="shared" si="0"/>
        <v>FALSE - min loss</v>
      </c>
      <c r="M4" s="8" t="str">
        <f t="shared" si="0"/>
        <v>FALSE - max of acc</v>
      </c>
      <c r="N4" s="8" t="str">
        <f t="shared" si="0"/>
        <v>FALSE - avg acc</v>
      </c>
      <c r="O4" s="8" t="str">
        <f t="shared" si="0"/>
        <v>FALSE - min acc</v>
      </c>
      <c r="P4" s="8" t="str">
        <f>CONCATENATE($A$12, " - ", LOWER(B4))</f>
        <v>TRUE - max loss</v>
      </c>
      <c r="Q4" s="8" t="str">
        <f t="shared" ref="Q4:U4" si="1">CONCATENATE($A$12, " - ", LOWER(C4))</f>
        <v>TRUE - avg loss</v>
      </c>
      <c r="R4" s="8" t="str">
        <f t="shared" si="1"/>
        <v>TRUE - min loss</v>
      </c>
      <c r="S4" s="8" t="str">
        <f t="shared" si="1"/>
        <v>TRUE - max of acc</v>
      </c>
      <c r="T4" s="8" t="str">
        <f t="shared" si="1"/>
        <v>TRUE - avg acc</v>
      </c>
      <c r="U4" s="8" t="str">
        <f t="shared" si="1"/>
        <v>TRUE - min acc</v>
      </c>
    </row>
    <row r="5" spans="1:21">
      <c r="A5" s="4" t="s">
        <v>16</v>
      </c>
      <c r="B5" s="2">
        <v>2.6053000000000002</v>
      </c>
      <c r="C5" s="2">
        <v>1.9745412037037045</v>
      </c>
      <c r="D5" s="2">
        <v>1.6083000000000001</v>
      </c>
      <c r="E5" s="2">
        <v>0.56850000000000001</v>
      </c>
      <c r="F5" s="2">
        <v>0.53203009259259282</v>
      </c>
      <c r="G5" s="2">
        <v>0.48799999999999999</v>
      </c>
      <c r="I5" s="6" t="s">
        <v>10</v>
      </c>
      <c r="J5" s="10">
        <f>B6</f>
        <v>2.3136000000000001</v>
      </c>
      <c r="K5" s="10">
        <f t="shared" ref="K5:O10" si="2">C6</f>
        <v>1.9263027777777779</v>
      </c>
      <c r="L5" s="10">
        <f t="shared" si="2"/>
        <v>1.6588000000000001</v>
      </c>
      <c r="M5" s="10">
        <f t="shared" si="2"/>
        <v>0.55449999999999999</v>
      </c>
      <c r="N5" s="10">
        <f t="shared" si="2"/>
        <v>0.52170833333333322</v>
      </c>
      <c r="O5" s="10">
        <f t="shared" si="2"/>
        <v>0.48799999999999999</v>
      </c>
      <c r="P5" s="10">
        <f>B13</f>
        <v>2.2812999999999999</v>
      </c>
      <c r="Q5" s="10">
        <f t="shared" ref="Q5:U5" si="3">C13</f>
        <v>1.9210085714285716</v>
      </c>
      <c r="R5" s="10">
        <f t="shared" si="3"/>
        <v>1.663</v>
      </c>
      <c r="S5" s="10">
        <f t="shared" si="3"/>
        <v>0.54749999999999999</v>
      </c>
      <c r="T5" s="10">
        <f t="shared" si="3"/>
        <v>0.51661428571428569</v>
      </c>
      <c r="U5" s="10">
        <f t="shared" si="3"/>
        <v>0.48449999999999999</v>
      </c>
    </row>
    <row r="6" spans="1:21">
      <c r="A6" s="5" t="s">
        <v>0</v>
      </c>
      <c r="B6" s="2">
        <v>2.3136000000000001</v>
      </c>
      <c r="C6" s="2">
        <v>1.9263027777777779</v>
      </c>
      <c r="D6" s="2">
        <v>1.6588000000000001</v>
      </c>
      <c r="E6" s="2">
        <v>0.55449999999999999</v>
      </c>
      <c r="F6" s="2">
        <v>0.52170833333333322</v>
      </c>
      <c r="G6" s="2">
        <v>0.48799999999999999</v>
      </c>
      <c r="I6" s="6" t="s">
        <v>11</v>
      </c>
      <c r="J6" s="10">
        <f t="shared" ref="J6:J10" si="4">B7</f>
        <v>2.4001999999999999</v>
      </c>
      <c r="K6" s="10">
        <f t="shared" si="2"/>
        <v>1.9384972222222221</v>
      </c>
      <c r="L6" s="10">
        <f t="shared" si="2"/>
        <v>1.6236999999999999</v>
      </c>
      <c r="M6" s="10">
        <f t="shared" si="2"/>
        <v>0.56299999999999994</v>
      </c>
      <c r="N6" s="10">
        <f t="shared" si="2"/>
        <v>0.52969444444444447</v>
      </c>
      <c r="O6" s="10">
        <f t="shared" si="2"/>
        <v>0.50949999999999995</v>
      </c>
      <c r="P6" s="10">
        <f t="shared" ref="P6:U10" si="5">B14</f>
        <v>2.4165999999999999</v>
      </c>
      <c r="Q6" s="10">
        <f t="shared" si="5"/>
        <v>1.9316371428571426</v>
      </c>
      <c r="R6" s="10">
        <f t="shared" si="5"/>
        <v>1.6788000000000001</v>
      </c>
      <c r="S6" s="10">
        <f t="shared" si="5"/>
        <v>0.56699999999999995</v>
      </c>
      <c r="T6" s="10">
        <f t="shared" si="5"/>
        <v>0.52211428571428575</v>
      </c>
      <c r="U6" s="10">
        <f t="shared" si="5"/>
        <v>0.49199999999999999</v>
      </c>
    </row>
    <row r="7" spans="1:21">
      <c r="A7" s="5" t="s">
        <v>1</v>
      </c>
      <c r="B7" s="2">
        <v>2.4001999999999999</v>
      </c>
      <c r="C7" s="2">
        <v>1.9384972222222221</v>
      </c>
      <c r="D7" s="2">
        <v>1.6236999999999999</v>
      </c>
      <c r="E7" s="2">
        <v>0.56299999999999994</v>
      </c>
      <c r="F7" s="2">
        <v>0.52969444444444447</v>
      </c>
      <c r="G7" s="2">
        <v>0.50949999999999995</v>
      </c>
      <c r="I7" s="6" t="s">
        <v>12</v>
      </c>
      <c r="J7" s="10">
        <f t="shared" si="4"/>
        <v>2.3824999999999998</v>
      </c>
      <c r="K7" s="10">
        <f t="shared" si="2"/>
        <v>1.9483916666666663</v>
      </c>
      <c r="L7" s="10">
        <f t="shared" si="2"/>
        <v>1.6083000000000001</v>
      </c>
      <c r="M7" s="10">
        <f t="shared" si="2"/>
        <v>0.56850000000000001</v>
      </c>
      <c r="N7" s="10">
        <f t="shared" si="2"/>
        <v>0.53608333333333325</v>
      </c>
      <c r="O7" s="10">
        <f t="shared" si="2"/>
        <v>0.504</v>
      </c>
      <c r="P7" s="10">
        <f t="shared" si="5"/>
        <v>2.4243000000000001</v>
      </c>
      <c r="Q7" s="10">
        <f t="shared" si="5"/>
        <v>1.9560228571428573</v>
      </c>
      <c r="R7" s="10">
        <f t="shared" si="5"/>
        <v>1.7304999999999999</v>
      </c>
      <c r="S7" s="10">
        <f t="shared" si="5"/>
        <v>0.55200000000000005</v>
      </c>
      <c r="T7" s="10">
        <f t="shared" si="5"/>
        <v>0.52212857142857128</v>
      </c>
      <c r="U7" s="10">
        <f t="shared" si="5"/>
        <v>0.48499999999999999</v>
      </c>
    </row>
    <row r="8" spans="1:21">
      <c r="A8" s="5" t="s">
        <v>2</v>
      </c>
      <c r="B8" s="2">
        <v>2.3824999999999998</v>
      </c>
      <c r="C8" s="2">
        <v>1.9483916666666663</v>
      </c>
      <c r="D8" s="2">
        <v>1.6083000000000001</v>
      </c>
      <c r="E8" s="2">
        <v>0.56850000000000001</v>
      </c>
      <c r="F8" s="2">
        <v>0.53608333333333325</v>
      </c>
      <c r="G8" s="2">
        <v>0.504</v>
      </c>
      <c r="I8" s="6" t="s">
        <v>13</v>
      </c>
      <c r="J8" s="10">
        <f t="shared" si="4"/>
        <v>2.5337999999999998</v>
      </c>
      <c r="K8" s="10">
        <f t="shared" si="2"/>
        <v>1.9831749999999997</v>
      </c>
      <c r="L8" s="10">
        <f t="shared" si="2"/>
        <v>1.6688000000000001</v>
      </c>
      <c r="M8" s="10">
        <f t="shared" si="2"/>
        <v>0.56000000000000005</v>
      </c>
      <c r="N8" s="10">
        <f t="shared" si="2"/>
        <v>0.53440277777777778</v>
      </c>
      <c r="O8" s="10">
        <f t="shared" si="2"/>
        <v>0.4945</v>
      </c>
      <c r="P8" s="10">
        <f t="shared" si="5"/>
        <v>2.4975000000000001</v>
      </c>
      <c r="Q8" s="10">
        <f t="shared" si="5"/>
        <v>1.9832999999999994</v>
      </c>
      <c r="R8" s="10">
        <f t="shared" si="5"/>
        <v>1.7482</v>
      </c>
      <c r="S8" s="10">
        <f t="shared" si="5"/>
        <v>0.54449999999999998</v>
      </c>
      <c r="T8" s="10">
        <f t="shared" si="5"/>
        <v>0.52188571428571429</v>
      </c>
      <c r="U8" s="10">
        <f t="shared" si="5"/>
        <v>0.47149999999999997</v>
      </c>
    </row>
    <row r="9" spans="1:21">
      <c r="A9" s="5" t="s">
        <v>3</v>
      </c>
      <c r="B9" s="2">
        <v>2.5337999999999998</v>
      </c>
      <c r="C9" s="2">
        <v>1.9831749999999997</v>
      </c>
      <c r="D9" s="2">
        <v>1.6688000000000001</v>
      </c>
      <c r="E9" s="2">
        <v>0.56000000000000005</v>
      </c>
      <c r="F9" s="2">
        <v>0.53440277777777778</v>
      </c>
      <c r="G9" s="2">
        <v>0.4945</v>
      </c>
      <c r="I9" s="6" t="s">
        <v>14</v>
      </c>
      <c r="J9" s="10">
        <f t="shared" si="4"/>
        <v>2.516</v>
      </c>
      <c r="K9" s="10">
        <f t="shared" si="2"/>
        <v>2.0146694444444444</v>
      </c>
      <c r="L9" s="10">
        <f t="shared" si="2"/>
        <v>1.6259999999999999</v>
      </c>
      <c r="M9" s="10">
        <f t="shared" si="2"/>
        <v>0.5595</v>
      </c>
      <c r="N9" s="10">
        <f t="shared" si="2"/>
        <v>0.53418055555555577</v>
      </c>
      <c r="O9" s="10">
        <f t="shared" si="2"/>
        <v>0.48899999999999999</v>
      </c>
      <c r="P9" s="10">
        <f t="shared" si="5"/>
        <v>2.4559000000000002</v>
      </c>
      <c r="Q9" s="10">
        <f t="shared" si="5"/>
        <v>2.0229714285714286</v>
      </c>
      <c r="R9" s="10">
        <f t="shared" si="5"/>
        <v>1.7253000000000001</v>
      </c>
      <c r="S9" s="10">
        <f t="shared" si="5"/>
        <v>0.54949999999999999</v>
      </c>
      <c r="T9" s="10">
        <f t="shared" si="5"/>
        <v>0.5225142857142856</v>
      </c>
      <c r="U9" s="10">
        <f t="shared" si="5"/>
        <v>0.49399999999999999</v>
      </c>
    </row>
    <row r="10" spans="1:21">
      <c r="A10" s="5" t="s">
        <v>4</v>
      </c>
      <c r="B10" s="2">
        <v>2.516</v>
      </c>
      <c r="C10" s="2">
        <v>2.0146694444444444</v>
      </c>
      <c r="D10" s="2">
        <v>1.6259999999999999</v>
      </c>
      <c r="E10" s="2">
        <v>0.5595</v>
      </c>
      <c r="F10" s="2">
        <v>0.53418055555555577</v>
      </c>
      <c r="G10" s="2">
        <v>0.48899999999999999</v>
      </c>
      <c r="I10" s="6" t="s">
        <v>15</v>
      </c>
      <c r="J10" s="10">
        <f t="shared" si="4"/>
        <v>2.6053000000000002</v>
      </c>
      <c r="K10" s="10">
        <f t="shared" si="2"/>
        <v>2.0362111111111107</v>
      </c>
      <c r="L10" s="10">
        <f t="shared" si="2"/>
        <v>1.6587000000000001</v>
      </c>
      <c r="M10" s="10">
        <f t="shared" si="2"/>
        <v>0.56799999999999995</v>
      </c>
      <c r="N10" s="10">
        <f t="shared" si="2"/>
        <v>0.5361111111111112</v>
      </c>
      <c r="O10" s="10">
        <f t="shared" si="2"/>
        <v>0.505</v>
      </c>
      <c r="P10" s="10">
        <f t="shared" si="5"/>
        <v>2.4912000000000001</v>
      </c>
      <c r="Q10" s="10">
        <f t="shared" si="5"/>
        <v>2.0232885714285715</v>
      </c>
      <c r="R10" s="10">
        <f t="shared" si="5"/>
        <v>1.7124999999999999</v>
      </c>
      <c r="S10" s="10">
        <f t="shared" si="5"/>
        <v>0.55049999999999999</v>
      </c>
      <c r="T10" s="10">
        <f t="shared" si="5"/>
        <v>0.52300000000000002</v>
      </c>
      <c r="U10" s="10">
        <f t="shared" si="5"/>
        <v>0.48899999999999999</v>
      </c>
    </row>
    <row r="11" spans="1:21">
      <c r="A11" s="5" t="s">
        <v>5</v>
      </c>
      <c r="B11" s="2">
        <v>2.6053000000000002</v>
      </c>
      <c r="C11" s="2">
        <v>2.0362111111111107</v>
      </c>
      <c r="D11" s="2">
        <v>1.6587000000000001</v>
      </c>
      <c r="E11" s="2">
        <v>0.56799999999999995</v>
      </c>
      <c r="F11" s="2">
        <v>0.5361111111111112</v>
      </c>
      <c r="G11" s="2">
        <v>0.505</v>
      </c>
    </row>
    <row r="12" spans="1:21">
      <c r="A12" s="4" t="s">
        <v>17</v>
      </c>
      <c r="B12" s="2">
        <v>2.4975000000000001</v>
      </c>
      <c r="C12" s="2">
        <v>1.9730380952380946</v>
      </c>
      <c r="D12" s="2">
        <v>1.663</v>
      </c>
      <c r="E12" s="2">
        <v>0.56699999999999995</v>
      </c>
      <c r="F12" s="2">
        <v>0.52137619047619055</v>
      </c>
      <c r="G12" s="2">
        <v>0.47149999999999997</v>
      </c>
    </row>
    <row r="13" spans="1:21">
      <c r="A13" s="5" t="s">
        <v>0</v>
      </c>
      <c r="B13" s="2">
        <v>2.2812999999999999</v>
      </c>
      <c r="C13" s="2">
        <v>1.9210085714285716</v>
      </c>
      <c r="D13" s="2">
        <v>1.663</v>
      </c>
      <c r="E13" s="2">
        <v>0.54749999999999999</v>
      </c>
      <c r="F13" s="2">
        <v>0.51661428571428569</v>
      </c>
      <c r="G13" s="2">
        <v>0.48449999999999999</v>
      </c>
    </row>
    <row r="14" spans="1:21">
      <c r="A14" s="5" t="s">
        <v>1</v>
      </c>
      <c r="B14" s="2">
        <v>2.4165999999999999</v>
      </c>
      <c r="C14" s="2">
        <v>1.9316371428571426</v>
      </c>
      <c r="D14" s="2">
        <v>1.6788000000000001</v>
      </c>
      <c r="E14" s="2">
        <v>0.56699999999999995</v>
      </c>
      <c r="F14" s="2">
        <v>0.52211428571428575</v>
      </c>
      <c r="G14" s="2">
        <v>0.49199999999999999</v>
      </c>
    </row>
    <row r="15" spans="1:21">
      <c r="A15" s="5" t="s">
        <v>2</v>
      </c>
      <c r="B15" s="2">
        <v>2.4243000000000001</v>
      </c>
      <c r="C15" s="2">
        <v>1.9560228571428573</v>
      </c>
      <c r="D15" s="2">
        <v>1.7304999999999999</v>
      </c>
      <c r="E15" s="2">
        <v>0.55200000000000005</v>
      </c>
      <c r="F15" s="2">
        <v>0.52212857142857128</v>
      </c>
      <c r="G15" s="2">
        <v>0.48499999999999999</v>
      </c>
    </row>
    <row r="16" spans="1:21">
      <c r="A16" s="5" t="s">
        <v>3</v>
      </c>
      <c r="B16" s="2">
        <v>2.4975000000000001</v>
      </c>
      <c r="C16" s="2">
        <v>1.9832999999999994</v>
      </c>
      <c r="D16" s="2">
        <v>1.7482</v>
      </c>
      <c r="E16" s="2">
        <v>0.54449999999999998</v>
      </c>
      <c r="F16" s="2">
        <v>0.52188571428571429</v>
      </c>
      <c r="G16" s="2">
        <v>0.47149999999999997</v>
      </c>
    </row>
    <row r="17" spans="1:7">
      <c r="A17" s="5" t="s">
        <v>4</v>
      </c>
      <c r="B17" s="2">
        <v>2.4559000000000002</v>
      </c>
      <c r="C17" s="2">
        <v>2.0229714285714286</v>
      </c>
      <c r="D17" s="2">
        <v>1.7253000000000001</v>
      </c>
      <c r="E17" s="2">
        <v>0.54949999999999999</v>
      </c>
      <c r="F17" s="2">
        <v>0.5225142857142856</v>
      </c>
      <c r="G17" s="2">
        <v>0.49399999999999999</v>
      </c>
    </row>
    <row r="18" spans="1:7">
      <c r="A18" s="5" t="s">
        <v>5</v>
      </c>
      <c r="B18" s="2">
        <v>2.4912000000000001</v>
      </c>
      <c r="C18" s="2">
        <v>2.0232885714285715</v>
      </c>
      <c r="D18" s="2">
        <v>1.7124999999999999</v>
      </c>
      <c r="E18" s="2">
        <v>0.55049999999999999</v>
      </c>
      <c r="F18" s="2">
        <v>0.52300000000000002</v>
      </c>
      <c r="G18" s="2">
        <v>0.48899999999999999</v>
      </c>
    </row>
    <row r="19" spans="1:7">
      <c r="A19" s="4" t="s">
        <v>8</v>
      </c>
      <c r="B19" s="2">
        <v>2.6053000000000002</v>
      </c>
      <c r="C19" s="2">
        <v>1.9738002347417829</v>
      </c>
      <c r="D19" s="2">
        <v>1.6083000000000001</v>
      </c>
      <c r="E19" s="2">
        <v>0.56850000000000001</v>
      </c>
      <c r="F19" s="2">
        <v>0.52677816901408481</v>
      </c>
      <c r="G19" s="2">
        <v>0.47149999999999997</v>
      </c>
    </row>
  </sheetData>
  <pageMargins left="0.75" right="0.75" top="1" bottom="1" header="0.5" footer="0.5"/>
  <pageSetup orientation="portrait" horizontalDpi="4294967292" verticalDpi="4294967292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A26"/>
  <sheetViews>
    <sheetView workbookViewId="0">
      <selection activeCell="E9" sqref="E9"/>
    </sheetView>
  </sheetViews>
  <sheetFormatPr baseColWidth="10" defaultRowHeight="15" x14ac:dyDescent="0"/>
  <cols>
    <col min="1" max="1" width="13" customWidth="1"/>
    <col min="2" max="2" width="8.6640625" bestFit="1" customWidth="1"/>
    <col min="3" max="3" width="12.1640625" bestFit="1" customWidth="1"/>
    <col min="4" max="4" width="8.33203125" bestFit="1" customWidth="1"/>
    <col min="5" max="5" width="10.1640625" bestFit="1" customWidth="1"/>
    <col min="6" max="6" width="12.1640625" customWidth="1"/>
    <col min="7" max="7" width="7.83203125" customWidth="1"/>
    <col min="8" max="8" width="15.6640625" bestFit="1" customWidth="1"/>
    <col min="10" max="15" width="8.83203125" customWidth="1"/>
    <col min="16" max="21" width="9.33203125" customWidth="1"/>
  </cols>
  <sheetData>
    <row r="3" spans="1:27">
      <c r="B3" s="3" t="s">
        <v>9</v>
      </c>
    </row>
    <row r="4" spans="1:27" ht="30">
      <c r="A4" s="3" t="s">
        <v>7</v>
      </c>
      <c r="B4" t="s">
        <v>19</v>
      </c>
      <c r="C4" t="s">
        <v>18</v>
      </c>
      <c r="D4" t="s">
        <v>20</v>
      </c>
      <c r="E4" t="s">
        <v>541</v>
      </c>
      <c r="F4" t="s">
        <v>21</v>
      </c>
      <c r="G4" t="s">
        <v>22</v>
      </c>
      <c r="I4" s="7" t="s">
        <v>6</v>
      </c>
      <c r="J4" s="8" t="str">
        <f>CONCATENATE($A$5, " - ", LOWER(B4))</f>
        <v>0.1 - max loss</v>
      </c>
      <c r="K4" s="8" t="str">
        <f t="shared" ref="K4:O4" si="0">CONCATENATE($A$5, " - ", LOWER(C4))</f>
        <v>0.1 - avg loss</v>
      </c>
      <c r="L4" s="8" t="str">
        <f t="shared" si="0"/>
        <v>0.1 - min loss</v>
      </c>
      <c r="M4" s="8" t="str">
        <f t="shared" si="0"/>
        <v>0.1 - max of acc</v>
      </c>
      <c r="N4" s="8" t="str">
        <f t="shared" si="0"/>
        <v>0.1 - avg acc</v>
      </c>
      <c r="O4" s="8" t="str">
        <f t="shared" si="0"/>
        <v>0.1 - min acc</v>
      </c>
      <c r="P4" s="8" t="str">
        <f>CONCATENATE($A$12, " - ", LOWER(B4))</f>
        <v>0.3 - max loss</v>
      </c>
      <c r="Q4" s="8" t="str">
        <f t="shared" ref="Q4:U4" si="1">CONCATENATE($A$12, " - ", LOWER(C4))</f>
        <v>0.3 - avg loss</v>
      </c>
      <c r="R4" s="8" t="str">
        <f t="shared" si="1"/>
        <v>0.3 - min loss</v>
      </c>
      <c r="S4" s="8" t="str">
        <f t="shared" si="1"/>
        <v>0.3 - max of acc</v>
      </c>
      <c r="T4" s="8" t="str">
        <f t="shared" si="1"/>
        <v>0.3 - avg acc</v>
      </c>
      <c r="U4" s="8" t="str">
        <f t="shared" si="1"/>
        <v>0.3 - min acc</v>
      </c>
      <c r="V4" s="8" t="str">
        <f>CONCATENATE($A$19, " - ", LOWER(B4))</f>
        <v>0.5 - max loss</v>
      </c>
      <c r="W4" s="8" t="str">
        <f t="shared" ref="W4:AA4" si="2">CONCATENATE($A$19, " - ", LOWER(C4))</f>
        <v>0.5 - avg loss</v>
      </c>
      <c r="X4" s="8" t="str">
        <f t="shared" si="2"/>
        <v>0.5 - min loss</v>
      </c>
      <c r="Y4" s="8" t="str">
        <f t="shared" si="2"/>
        <v>0.5 - max of acc</v>
      </c>
      <c r="Z4" s="8" t="str">
        <f t="shared" si="2"/>
        <v>0.5 - avg acc</v>
      </c>
      <c r="AA4" s="8" t="str">
        <f t="shared" si="2"/>
        <v>0.5 - min acc</v>
      </c>
    </row>
    <row r="5" spans="1:27">
      <c r="A5" s="4">
        <v>0.1</v>
      </c>
      <c r="B5" s="2"/>
      <c r="C5" s="2"/>
      <c r="D5" s="2"/>
      <c r="E5" s="2"/>
      <c r="F5" s="2"/>
      <c r="G5" s="2"/>
      <c r="I5" s="6" t="s">
        <v>10</v>
      </c>
      <c r="J5" s="10">
        <f>B6</f>
        <v>2.3136000000000001</v>
      </c>
      <c r="K5" s="10">
        <f t="shared" ref="K5:O10" si="3">C6</f>
        <v>1.9641055555555558</v>
      </c>
      <c r="L5" s="10">
        <f t="shared" si="3"/>
        <v>1.6055999999999999</v>
      </c>
      <c r="M5" s="10">
        <f t="shared" si="3"/>
        <v>0.55449999999999999</v>
      </c>
      <c r="N5" s="10">
        <f t="shared" si="3"/>
        <v>0.5221527777777778</v>
      </c>
      <c r="O5" s="10">
        <f t="shared" si="3"/>
        <v>0.48449999999999999</v>
      </c>
      <c r="P5" s="10">
        <f>B13</f>
        <v>2.1934</v>
      </c>
      <c r="Q5" s="10">
        <f t="shared" ref="Q5:U5" si="4">C13</f>
        <v>1.9067583333333333</v>
      </c>
      <c r="R5" s="10">
        <f t="shared" si="4"/>
        <v>1.6368</v>
      </c>
      <c r="S5" s="10">
        <f t="shared" si="4"/>
        <v>0.55500000000000005</v>
      </c>
      <c r="T5" s="10">
        <f t="shared" si="4"/>
        <v>0.52611111111111108</v>
      </c>
      <c r="U5" s="10">
        <f t="shared" si="4"/>
        <v>0.505</v>
      </c>
      <c r="V5" s="10">
        <f>B20</f>
        <v>2.1118000000000001</v>
      </c>
      <c r="W5" s="10">
        <f t="shared" ref="W5:AA5" si="5">C20</f>
        <v>1.8455600000000003</v>
      </c>
      <c r="X5" s="10">
        <f t="shared" si="5"/>
        <v>1.6545000000000001</v>
      </c>
      <c r="Y5" s="10">
        <f t="shared" si="5"/>
        <v>0.55900000000000005</v>
      </c>
      <c r="Z5" s="10">
        <f t="shared" si="5"/>
        <v>0.52500000000000002</v>
      </c>
      <c r="AA5" s="10">
        <f t="shared" si="5"/>
        <v>0.48799999999999999</v>
      </c>
    </row>
    <row r="6" spans="1:27">
      <c r="A6" s="5" t="s">
        <v>0</v>
      </c>
      <c r="B6" s="2">
        <v>2.3136000000000001</v>
      </c>
      <c r="C6" s="2">
        <v>1.9641055555555558</v>
      </c>
      <c r="D6" s="2">
        <v>1.6055999999999999</v>
      </c>
      <c r="E6" s="2">
        <v>0.55449999999999999</v>
      </c>
      <c r="F6" s="2">
        <v>0.5221527777777778</v>
      </c>
      <c r="G6" s="2">
        <v>0.48449999999999999</v>
      </c>
      <c r="I6" s="6" t="s">
        <v>11</v>
      </c>
      <c r="J6" s="10">
        <f t="shared" ref="J6:J10" si="6">B7</f>
        <v>2.4165999999999999</v>
      </c>
      <c r="K6" s="10">
        <f t="shared" si="3"/>
        <v>2.0137111111111117</v>
      </c>
      <c r="L6" s="10">
        <f t="shared" si="3"/>
        <v>1.6798</v>
      </c>
      <c r="M6" s="10">
        <f t="shared" si="3"/>
        <v>0.56699999999999995</v>
      </c>
      <c r="N6" s="10">
        <f t="shared" si="3"/>
        <v>0.52700000000000014</v>
      </c>
      <c r="O6" s="10">
        <f t="shared" si="3"/>
        <v>0.49199999999999999</v>
      </c>
      <c r="P6" s="10">
        <f t="shared" ref="P6:U10" si="7">B14</f>
        <v>2.2667000000000002</v>
      </c>
      <c r="Q6" s="10">
        <f t="shared" si="7"/>
        <v>1.9085083333333333</v>
      </c>
      <c r="R6" s="10">
        <f t="shared" si="7"/>
        <v>1.6236999999999999</v>
      </c>
      <c r="S6" s="10">
        <f t="shared" si="7"/>
        <v>0.56599999999999995</v>
      </c>
      <c r="T6" s="10">
        <f t="shared" si="7"/>
        <v>0.5299999999999998</v>
      </c>
      <c r="U6" s="10">
        <f t="shared" si="7"/>
        <v>0.49349999999999999</v>
      </c>
      <c r="V6" s="10">
        <f t="shared" ref="V6:AA10" si="8">B21</f>
        <v>2.1781000000000001</v>
      </c>
      <c r="W6" s="10">
        <f t="shared" si="8"/>
        <v>1.855682857142857</v>
      </c>
      <c r="X6" s="10">
        <f t="shared" si="8"/>
        <v>1.6641999999999999</v>
      </c>
      <c r="Y6" s="10">
        <f t="shared" si="8"/>
        <v>0.55600000000000005</v>
      </c>
      <c r="Z6" s="10">
        <f t="shared" si="8"/>
        <v>0.52900000000000003</v>
      </c>
      <c r="AA6" s="10">
        <f t="shared" si="8"/>
        <v>0.495</v>
      </c>
    </row>
    <row r="7" spans="1:27">
      <c r="A7" s="5" t="s">
        <v>1</v>
      </c>
      <c r="B7" s="2">
        <v>2.4165999999999999</v>
      </c>
      <c r="C7" s="2">
        <v>2.0137111111111117</v>
      </c>
      <c r="D7" s="2">
        <v>1.6798</v>
      </c>
      <c r="E7" s="2">
        <v>0.56699999999999995</v>
      </c>
      <c r="F7" s="2">
        <v>0.52700000000000014</v>
      </c>
      <c r="G7" s="2">
        <v>0.49199999999999999</v>
      </c>
      <c r="I7" s="6" t="s">
        <v>12</v>
      </c>
      <c r="J7" s="10">
        <f t="shared" si="6"/>
        <v>2.4243000000000001</v>
      </c>
      <c r="K7" s="10">
        <f t="shared" si="3"/>
        <v>2.0189166666666676</v>
      </c>
      <c r="L7" s="10">
        <f t="shared" si="3"/>
        <v>1.6528</v>
      </c>
      <c r="M7" s="10">
        <f t="shared" si="3"/>
        <v>0.55600000000000005</v>
      </c>
      <c r="N7" s="10">
        <f t="shared" si="3"/>
        <v>0.52702777777777765</v>
      </c>
      <c r="O7" s="10">
        <f t="shared" si="3"/>
        <v>0.48499999999999999</v>
      </c>
      <c r="P7" s="10">
        <f t="shared" si="7"/>
        <v>2.3365999999999998</v>
      </c>
      <c r="Q7" s="10">
        <f t="shared" si="7"/>
        <v>1.9485972222222223</v>
      </c>
      <c r="R7" s="10">
        <f t="shared" si="7"/>
        <v>1.6526000000000001</v>
      </c>
      <c r="S7" s="10">
        <f t="shared" si="7"/>
        <v>0.5615</v>
      </c>
      <c r="T7" s="10">
        <f t="shared" si="7"/>
        <v>0.53331944444444457</v>
      </c>
      <c r="U7" s="10">
        <f t="shared" si="7"/>
        <v>0.50449999999999995</v>
      </c>
      <c r="V7" s="10">
        <f t="shared" si="8"/>
        <v>2.1467999999999998</v>
      </c>
      <c r="W7" s="10">
        <f t="shared" si="8"/>
        <v>1.8558057142857145</v>
      </c>
      <c r="X7" s="10">
        <f t="shared" si="8"/>
        <v>1.6083000000000001</v>
      </c>
      <c r="Y7" s="10">
        <f t="shared" si="8"/>
        <v>0.56850000000000001</v>
      </c>
      <c r="Z7" s="10">
        <f t="shared" si="8"/>
        <v>0.53497142857142854</v>
      </c>
      <c r="AA7" s="10">
        <f t="shared" si="8"/>
        <v>0.504</v>
      </c>
    </row>
    <row r="8" spans="1:27">
      <c r="A8" s="5" t="s">
        <v>2</v>
      </c>
      <c r="B8" s="2">
        <v>2.4243000000000001</v>
      </c>
      <c r="C8" s="2">
        <v>2.0189166666666676</v>
      </c>
      <c r="D8" s="2">
        <v>1.6528</v>
      </c>
      <c r="E8" s="2">
        <v>0.55600000000000005</v>
      </c>
      <c r="F8" s="2">
        <v>0.52702777777777765</v>
      </c>
      <c r="G8" s="2">
        <v>0.48499999999999999</v>
      </c>
      <c r="I8" s="6" t="s">
        <v>13</v>
      </c>
      <c r="J8" s="10">
        <f t="shared" si="6"/>
        <v>2.5337999999999998</v>
      </c>
      <c r="K8" s="10">
        <f t="shared" si="3"/>
        <v>2.0643583333333333</v>
      </c>
      <c r="L8" s="10">
        <f t="shared" si="3"/>
        <v>1.6809000000000001</v>
      </c>
      <c r="M8" s="10">
        <f t="shared" si="3"/>
        <v>0.56000000000000005</v>
      </c>
      <c r="N8" s="10">
        <f t="shared" si="3"/>
        <v>0.52388888888888885</v>
      </c>
      <c r="O8" s="10">
        <f t="shared" si="3"/>
        <v>0.47149999999999997</v>
      </c>
      <c r="P8" s="10">
        <f t="shared" si="7"/>
        <v>2.3551000000000002</v>
      </c>
      <c r="Q8" s="10">
        <f t="shared" si="7"/>
        <v>1.9639805555555556</v>
      </c>
      <c r="R8" s="10">
        <f t="shared" si="7"/>
        <v>1.6264000000000001</v>
      </c>
      <c r="S8" s="10">
        <f t="shared" si="7"/>
        <v>0.56100000000000005</v>
      </c>
      <c r="T8" s="10">
        <f t="shared" si="7"/>
        <v>0.53348611111111111</v>
      </c>
      <c r="U8" s="10">
        <f t="shared" si="7"/>
        <v>0.502</v>
      </c>
      <c r="V8" s="10">
        <f t="shared" si="8"/>
        <v>2.2450999999999999</v>
      </c>
      <c r="W8" s="10">
        <f t="shared" si="8"/>
        <v>1.8789457142857142</v>
      </c>
      <c r="X8" s="10">
        <f t="shared" si="8"/>
        <v>1.5972999999999999</v>
      </c>
      <c r="Y8" s="10">
        <f t="shared" si="8"/>
        <v>0.57350000000000001</v>
      </c>
      <c r="Z8" s="10">
        <f t="shared" si="8"/>
        <v>0.53728571428571414</v>
      </c>
      <c r="AA8" s="10">
        <f t="shared" si="8"/>
        <v>0.501</v>
      </c>
    </row>
    <row r="9" spans="1:27">
      <c r="A9" s="5" t="s">
        <v>3</v>
      </c>
      <c r="B9" s="2">
        <v>2.5337999999999998</v>
      </c>
      <c r="C9" s="2">
        <v>2.0643583333333333</v>
      </c>
      <c r="D9" s="2">
        <v>1.6809000000000001</v>
      </c>
      <c r="E9" s="2">
        <v>0.56000000000000005</v>
      </c>
      <c r="F9" s="2">
        <v>0.52388888888888885</v>
      </c>
      <c r="G9" s="2">
        <v>0.47149999999999997</v>
      </c>
      <c r="I9" s="6" t="s">
        <v>14</v>
      </c>
      <c r="J9" s="10">
        <f t="shared" si="6"/>
        <v>2.516</v>
      </c>
      <c r="K9" s="10">
        <f t="shared" si="3"/>
        <v>2.0939194444444444</v>
      </c>
      <c r="L9" s="10">
        <f t="shared" si="3"/>
        <v>1.6898</v>
      </c>
      <c r="M9" s="10">
        <f t="shared" si="3"/>
        <v>0.5605</v>
      </c>
      <c r="N9" s="10">
        <f t="shared" si="3"/>
        <v>0.52669444444444447</v>
      </c>
      <c r="O9" s="10">
        <f t="shared" si="3"/>
        <v>0.48899999999999999</v>
      </c>
      <c r="P9" s="10">
        <f t="shared" si="7"/>
        <v>2.4828000000000001</v>
      </c>
      <c r="Q9" s="10">
        <f t="shared" si="7"/>
        <v>2.0000361111111107</v>
      </c>
      <c r="R9" s="10">
        <f t="shared" si="7"/>
        <v>1.639</v>
      </c>
      <c r="S9" s="10">
        <f t="shared" si="7"/>
        <v>0.55900000000000005</v>
      </c>
      <c r="T9" s="10">
        <f t="shared" si="7"/>
        <v>0.53208333333333313</v>
      </c>
      <c r="U9" s="10">
        <f t="shared" si="7"/>
        <v>0.49199999999999999</v>
      </c>
      <c r="V9" s="10">
        <f t="shared" si="8"/>
        <v>2.3157999999999999</v>
      </c>
      <c r="W9" s="10">
        <f t="shared" si="8"/>
        <v>1.9159399999999993</v>
      </c>
      <c r="X9" s="10">
        <f t="shared" si="8"/>
        <v>1.6259999999999999</v>
      </c>
      <c r="Y9" s="10">
        <f t="shared" si="8"/>
        <v>0.5575</v>
      </c>
      <c r="Z9" s="10">
        <f t="shared" si="8"/>
        <v>0.53445714285714296</v>
      </c>
      <c r="AA9" s="10">
        <f t="shared" si="8"/>
        <v>0.49399999999999999</v>
      </c>
    </row>
    <row r="10" spans="1:27">
      <c r="A10" s="5" t="s">
        <v>4</v>
      </c>
      <c r="B10" s="2">
        <v>2.516</v>
      </c>
      <c r="C10" s="2">
        <v>2.0939194444444444</v>
      </c>
      <c r="D10" s="2">
        <v>1.6898</v>
      </c>
      <c r="E10" s="2">
        <v>0.5605</v>
      </c>
      <c r="F10" s="2">
        <v>0.52669444444444447</v>
      </c>
      <c r="G10" s="2">
        <v>0.48899999999999999</v>
      </c>
      <c r="I10" s="6" t="s">
        <v>15</v>
      </c>
      <c r="J10" s="10">
        <f t="shared" si="6"/>
        <v>2.6053000000000002</v>
      </c>
      <c r="K10" s="10">
        <f t="shared" si="3"/>
        <v>2.1280222222222225</v>
      </c>
      <c r="L10" s="10">
        <f t="shared" si="3"/>
        <v>1.7182999999999999</v>
      </c>
      <c r="M10" s="10">
        <f t="shared" si="3"/>
        <v>0.55400000000000005</v>
      </c>
      <c r="N10" s="10">
        <f t="shared" si="3"/>
        <v>0.52463888888888888</v>
      </c>
      <c r="O10" s="10">
        <f t="shared" si="3"/>
        <v>0.48899999999999999</v>
      </c>
      <c r="P10" s="10">
        <f t="shared" si="7"/>
        <v>2.3974000000000002</v>
      </c>
      <c r="Q10" s="10">
        <f t="shared" si="7"/>
        <v>2.021002777777777</v>
      </c>
      <c r="R10" s="10">
        <f t="shared" si="7"/>
        <v>1.6727000000000001</v>
      </c>
      <c r="S10" s="10">
        <f t="shared" si="7"/>
        <v>0.5635</v>
      </c>
      <c r="T10" s="10">
        <f t="shared" si="7"/>
        <v>0.53345833333333337</v>
      </c>
      <c r="U10" s="10">
        <f t="shared" si="7"/>
        <v>0.4985</v>
      </c>
      <c r="V10" s="10">
        <f t="shared" si="8"/>
        <v>2.3374999999999999</v>
      </c>
      <c r="W10" s="10">
        <f t="shared" si="8"/>
        <v>1.9155000000000002</v>
      </c>
      <c r="X10" s="10">
        <f t="shared" si="8"/>
        <v>1.6245000000000001</v>
      </c>
      <c r="Y10" s="10">
        <f t="shared" si="8"/>
        <v>0.56799999999999995</v>
      </c>
      <c r="Z10" s="10">
        <f t="shared" si="8"/>
        <v>0.53804285714285716</v>
      </c>
      <c r="AA10" s="10">
        <f t="shared" si="8"/>
        <v>0.50249999999999995</v>
      </c>
    </row>
    <row r="11" spans="1:27">
      <c r="A11" s="5" t="s">
        <v>5</v>
      </c>
      <c r="B11" s="2">
        <v>2.6053000000000002</v>
      </c>
      <c r="C11" s="2">
        <v>2.1280222222222225</v>
      </c>
      <c r="D11" s="2">
        <v>1.7182999999999999</v>
      </c>
      <c r="E11" s="2">
        <v>0.55400000000000005</v>
      </c>
      <c r="F11" s="2">
        <v>0.52463888888888888</v>
      </c>
      <c r="G11" s="2">
        <v>0.48899999999999999</v>
      </c>
    </row>
    <row r="12" spans="1:27">
      <c r="A12" s="4">
        <v>0.3</v>
      </c>
      <c r="B12" s="2"/>
      <c r="C12" s="2"/>
      <c r="D12" s="2"/>
      <c r="E12" s="2"/>
      <c r="F12" s="2"/>
      <c r="G12" s="2"/>
    </row>
    <row r="13" spans="1:27">
      <c r="A13" s="5" t="s">
        <v>0</v>
      </c>
      <c r="B13" s="2">
        <v>2.1934</v>
      </c>
      <c r="C13" s="2">
        <v>1.9067583333333333</v>
      </c>
      <c r="D13" s="2">
        <v>1.6368</v>
      </c>
      <c r="E13" s="2">
        <v>0.55500000000000005</v>
      </c>
      <c r="F13" s="2">
        <v>0.52611111111111108</v>
      </c>
      <c r="G13" s="2">
        <v>0.505</v>
      </c>
    </row>
    <row r="14" spans="1:27">
      <c r="A14" s="5" t="s">
        <v>1</v>
      </c>
      <c r="B14" s="2">
        <v>2.2667000000000002</v>
      </c>
      <c r="C14" s="2">
        <v>1.9085083333333333</v>
      </c>
      <c r="D14" s="2">
        <v>1.6236999999999999</v>
      </c>
      <c r="E14" s="2">
        <v>0.56599999999999995</v>
      </c>
      <c r="F14" s="2">
        <v>0.5299999999999998</v>
      </c>
      <c r="G14" s="2">
        <v>0.49349999999999999</v>
      </c>
    </row>
    <row r="15" spans="1:27">
      <c r="A15" s="5" t="s">
        <v>2</v>
      </c>
      <c r="B15" s="2">
        <v>2.3365999999999998</v>
      </c>
      <c r="C15" s="2">
        <v>1.9485972222222223</v>
      </c>
      <c r="D15" s="2">
        <v>1.6526000000000001</v>
      </c>
      <c r="E15" s="2">
        <v>0.5615</v>
      </c>
      <c r="F15" s="2">
        <v>0.53331944444444457</v>
      </c>
      <c r="G15" s="2">
        <v>0.50449999999999995</v>
      </c>
    </row>
    <row r="16" spans="1:27">
      <c r="A16" s="5" t="s">
        <v>3</v>
      </c>
      <c r="B16" s="2">
        <v>2.3551000000000002</v>
      </c>
      <c r="C16" s="2">
        <v>1.9639805555555556</v>
      </c>
      <c r="D16" s="2">
        <v>1.6264000000000001</v>
      </c>
      <c r="E16" s="2">
        <v>0.56100000000000005</v>
      </c>
      <c r="F16" s="2">
        <v>0.53348611111111111</v>
      </c>
      <c r="G16" s="2">
        <v>0.502</v>
      </c>
    </row>
    <row r="17" spans="1:7">
      <c r="A17" s="5" t="s">
        <v>4</v>
      </c>
      <c r="B17" s="2">
        <v>2.4828000000000001</v>
      </c>
      <c r="C17" s="2">
        <v>2.0000361111111107</v>
      </c>
      <c r="D17" s="2">
        <v>1.639</v>
      </c>
      <c r="E17" s="2">
        <v>0.55900000000000005</v>
      </c>
      <c r="F17" s="2">
        <v>0.53208333333333313</v>
      </c>
      <c r="G17" s="2">
        <v>0.49199999999999999</v>
      </c>
    </row>
    <row r="18" spans="1:7">
      <c r="A18" s="5" t="s">
        <v>5</v>
      </c>
      <c r="B18" s="2">
        <v>2.3974000000000002</v>
      </c>
      <c r="C18" s="2">
        <v>2.021002777777777</v>
      </c>
      <c r="D18" s="2">
        <v>1.6727000000000001</v>
      </c>
      <c r="E18" s="2">
        <v>0.5635</v>
      </c>
      <c r="F18" s="2">
        <v>0.53345833333333337</v>
      </c>
      <c r="G18" s="2">
        <v>0.4985</v>
      </c>
    </row>
    <row r="19" spans="1:7">
      <c r="A19" s="4">
        <v>0.5</v>
      </c>
      <c r="B19" s="2"/>
      <c r="C19" s="2"/>
      <c r="D19" s="2"/>
      <c r="E19" s="2"/>
      <c r="F19" s="2"/>
      <c r="G19" s="2"/>
    </row>
    <row r="20" spans="1:7">
      <c r="A20" s="5" t="s">
        <v>0</v>
      </c>
      <c r="B20" s="2">
        <v>2.1118000000000001</v>
      </c>
      <c r="C20" s="2">
        <v>1.8455600000000003</v>
      </c>
      <c r="D20" s="2">
        <v>1.6545000000000001</v>
      </c>
      <c r="E20" s="2">
        <v>0.55900000000000005</v>
      </c>
      <c r="F20" s="2">
        <v>0.52500000000000002</v>
      </c>
      <c r="G20" s="2">
        <v>0.48799999999999999</v>
      </c>
    </row>
    <row r="21" spans="1:7">
      <c r="A21" s="5" t="s">
        <v>1</v>
      </c>
      <c r="B21" s="2">
        <v>2.1781000000000001</v>
      </c>
      <c r="C21" s="2">
        <v>1.855682857142857</v>
      </c>
      <c r="D21" s="2">
        <v>1.6641999999999999</v>
      </c>
      <c r="E21" s="2">
        <v>0.55600000000000005</v>
      </c>
      <c r="F21" s="2">
        <v>0.52900000000000003</v>
      </c>
      <c r="G21" s="2">
        <v>0.495</v>
      </c>
    </row>
    <row r="22" spans="1:7">
      <c r="A22" s="5" t="s">
        <v>2</v>
      </c>
      <c r="B22" s="2">
        <v>2.1467999999999998</v>
      </c>
      <c r="C22" s="2">
        <v>1.8558057142857145</v>
      </c>
      <c r="D22" s="2">
        <v>1.6083000000000001</v>
      </c>
      <c r="E22" s="2">
        <v>0.56850000000000001</v>
      </c>
      <c r="F22" s="2">
        <v>0.53497142857142854</v>
      </c>
      <c r="G22" s="2">
        <v>0.504</v>
      </c>
    </row>
    <row r="23" spans="1:7">
      <c r="A23" s="5" t="s">
        <v>3</v>
      </c>
      <c r="B23" s="2">
        <v>2.2450999999999999</v>
      </c>
      <c r="C23" s="2">
        <v>1.8789457142857142</v>
      </c>
      <c r="D23" s="2">
        <v>1.5972999999999999</v>
      </c>
      <c r="E23" s="2">
        <v>0.57350000000000001</v>
      </c>
      <c r="F23" s="2">
        <v>0.53728571428571414</v>
      </c>
      <c r="G23" s="2">
        <v>0.501</v>
      </c>
    </row>
    <row r="24" spans="1:7">
      <c r="A24" s="5" t="s">
        <v>4</v>
      </c>
      <c r="B24" s="2">
        <v>2.3157999999999999</v>
      </c>
      <c r="C24" s="2">
        <v>1.9159399999999993</v>
      </c>
      <c r="D24" s="2">
        <v>1.6259999999999999</v>
      </c>
      <c r="E24" s="2">
        <v>0.5575</v>
      </c>
      <c r="F24" s="2">
        <v>0.53445714285714296</v>
      </c>
      <c r="G24" s="2">
        <v>0.49399999999999999</v>
      </c>
    </row>
    <row r="25" spans="1:7">
      <c r="A25" s="5" t="s">
        <v>5</v>
      </c>
      <c r="B25" s="2">
        <v>2.3374999999999999</v>
      </c>
      <c r="C25" s="2">
        <v>1.9155000000000002</v>
      </c>
      <c r="D25" s="2">
        <v>1.6245000000000001</v>
      </c>
      <c r="E25" s="2">
        <v>0.56799999999999995</v>
      </c>
      <c r="F25" s="2">
        <v>0.53804285714285716</v>
      </c>
      <c r="G25" s="2">
        <v>0.50249999999999995</v>
      </c>
    </row>
    <row r="26" spans="1:7">
      <c r="A26" s="4" t="s">
        <v>8</v>
      </c>
      <c r="B26" s="2">
        <v>2.6053000000000002</v>
      </c>
      <c r="C26" s="2">
        <v>1.9618523364485956</v>
      </c>
      <c r="D26" s="2">
        <v>1.5972999999999999</v>
      </c>
      <c r="E26" s="2">
        <v>0.57350000000000001</v>
      </c>
      <c r="F26" s="2">
        <v>0.52989330218068542</v>
      </c>
      <c r="G26" s="2">
        <v>0.47149999999999997</v>
      </c>
    </row>
  </sheetData>
  <pageMargins left="0.75" right="0.75" top="1" bottom="1" header="0.5" footer="0.5"/>
  <pageSetup orientation="portrait" horizontalDpi="4294967292" verticalDpi="4294967292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A26"/>
  <sheetViews>
    <sheetView workbookViewId="0">
      <selection activeCell="U56" sqref="U56"/>
    </sheetView>
  </sheetViews>
  <sheetFormatPr baseColWidth="10" defaultRowHeight="15" x14ac:dyDescent="0"/>
  <cols>
    <col min="1" max="1" width="13" customWidth="1"/>
    <col min="2" max="2" width="8.6640625" bestFit="1" customWidth="1"/>
    <col min="3" max="3" width="12.1640625" bestFit="1" customWidth="1"/>
    <col min="4" max="4" width="8.33203125" bestFit="1" customWidth="1"/>
    <col min="5" max="5" width="10.1640625" bestFit="1" customWidth="1"/>
    <col min="6" max="6" width="12.1640625" customWidth="1"/>
    <col min="7" max="7" width="7.83203125" customWidth="1"/>
    <col min="8" max="8" width="11.6640625" customWidth="1"/>
    <col min="10" max="15" width="8.83203125" customWidth="1"/>
    <col min="16" max="21" width="9.33203125" customWidth="1"/>
  </cols>
  <sheetData>
    <row r="3" spans="1:27">
      <c r="B3" s="3" t="s">
        <v>9</v>
      </c>
    </row>
    <row r="4" spans="1:27" ht="30">
      <c r="A4" s="3" t="s">
        <v>7</v>
      </c>
      <c r="B4" t="s">
        <v>19</v>
      </c>
      <c r="C4" t="s">
        <v>18</v>
      </c>
      <c r="D4" t="s">
        <v>20</v>
      </c>
      <c r="E4" t="s">
        <v>541</v>
      </c>
      <c r="F4" t="s">
        <v>21</v>
      </c>
      <c r="G4" t="s">
        <v>22</v>
      </c>
      <c r="I4" s="7" t="s">
        <v>6</v>
      </c>
      <c r="J4" s="8" t="str">
        <f>CONCATENATE($A$5, " - ", LOWER(B4))</f>
        <v>64 - max loss</v>
      </c>
      <c r="K4" s="8" t="str">
        <f t="shared" ref="K4:O4" si="0">CONCATENATE($A$5, " - ", LOWER(C4))</f>
        <v>64 - avg loss</v>
      </c>
      <c r="L4" s="8" t="str">
        <f t="shared" si="0"/>
        <v>64 - min loss</v>
      </c>
      <c r="M4" s="8" t="str">
        <f t="shared" si="0"/>
        <v>64 - max of acc</v>
      </c>
      <c r="N4" s="8" t="str">
        <f t="shared" si="0"/>
        <v>64 - avg acc</v>
      </c>
      <c r="O4" s="8" t="str">
        <f t="shared" si="0"/>
        <v>64 - min acc</v>
      </c>
      <c r="P4" s="8" t="str">
        <f>CONCATENATE($A$12, " - ", LOWER(B4))</f>
        <v>128 - max loss</v>
      </c>
      <c r="Q4" s="8" t="str">
        <f t="shared" ref="Q4:U4" si="1">CONCATENATE($A$12, " - ", LOWER(C4))</f>
        <v>128 - avg loss</v>
      </c>
      <c r="R4" s="8" t="str">
        <f t="shared" si="1"/>
        <v>128 - min loss</v>
      </c>
      <c r="S4" s="8" t="str">
        <f t="shared" si="1"/>
        <v>128 - max of acc</v>
      </c>
      <c r="T4" s="8" t="str">
        <f t="shared" si="1"/>
        <v>128 - avg acc</v>
      </c>
      <c r="U4" s="8" t="str">
        <f t="shared" si="1"/>
        <v>128 - min acc</v>
      </c>
      <c r="V4" s="8" t="str">
        <f>CONCATENATE($A$19, " - ", LOWER(B4))</f>
        <v>256 - max loss</v>
      </c>
      <c r="W4" s="8" t="str">
        <f t="shared" ref="W4:AA4" si="2">CONCATENATE($A$19, " - ", LOWER(C4))</f>
        <v>256 - avg loss</v>
      </c>
      <c r="X4" s="8" t="str">
        <f t="shared" si="2"/>
        <v>256 - min loss</v>
      </c>
      <c r="Y4" s="8" t="str">
        <f t="shared" si="2"/>
        <v>256 - max of acc</v>
      </c>
      <c r="Z4" s="8" t="str">
        <f t="shared" si="2"/>
        <v>256 - avg acc</v>
      </c>
      <c r="AA4" s="8" t="str">
        <f t="shared" si="2"/>
        <v>256 - min acc</v>
      </c>
    </row>
    <row r="5" spans="1:27">
      <c r="A5" s="4">
        <v>64</v>
      </c>
      <c r="B5" s="2">
        <v>2.6053000000000002</v>
      </c>
      <c r="C5" s="2">
        <v>2.0053745370370364</v>
      </c>
      <c r="D5" s="2">
        <v>1.6559999999999999</v>
      </c>
      <c r="E5" s="2">
        <v>0.56799999999999995</v>
      </c>
      <c r="F5" s="2">
        <v>0.52448379629629638</v>
      </c>
      <c r="G5" s="2">
        <v>0.47149999999999997</v>
      </c>
      <c r="I5" s="6" t="s">
        <v>10</v>
      </c>
      <c r="J5" s="10">
        <f>B6</f>
        <v>2.2812999999999999</v>
      </c>
      <c r="K5" s="10">
        <f t="shared" ref="K5:O10" si="3">C6</f>
        <v>1.9474333333333336</v>
      </c>
      <c r="L5" s="10">
        <f t="shared" si="3"/>
        <v>1.7000999999999999</v>
      </c>
      <c r="M5" s="10">
        <f t="shared" si="3"/>
        <v>0.54200000000000004</v>
      </c>
      <c r="N5" s="10">
        <f t="shared" si="3"/>
        <v>0.51709722222222221</v>
      </c>
      <c r="O5" s="10">
        <f t="shared" si="3"/>
        <v>0.48449999999999999</v>
      </c>
      <c r="P5" s="10">
        <f>B13</f>
        <v>2.2658</v>
      </c>
      <c r="Q5" s="10">
        <f t="shared" ref="Q5:U5" si="4">C13</f>
        <v>1.8908638888888889</v>
      </c>
      <c r="R5" s="10">
        <f t="shared" si="4"/>
        <v>1.6055999999999999</v>
      </c>
      <c r="S5" s="10">
        <f t="shared" si="4"/>
        <v>0.55900000000000005</v>
      </c>
      <c r="T5" s="10">
        <f t="shared" si="4"/>
        <v>0.52783333333333349</v>
      </c>
      <c r="U5" s="10">
        <f t="shared" si="4"/>
        <v>0.48599999999999999</v>
      </c>
      <c r="V5" s="10">
        <f>B20</f>
        <v>2.3136000000000001</v>
      </c>
      <c r="W5" s="10">
        <f t="shared" ref="W5:AA5" si="5">C20</f>
        <v>1.8790571428571436</v>
      </c>
      <c r="X5" s="10">
        <f t="shared" si="5"/>
        <v>1.6545000000000001</v>
      </c>
      <c r="Y5" s="10">
        <f t="shared" si="5"/>
        <v>0.55149999999999999</v>
      </c>
      <c r="Z5" s="10">
        <f t="shared" si="5"/>
        <v>0.52842857142857147</v>
      </c>
      <c r="AA5" s="10">
        <f t="shared" si="5"/>
        <v>0.496</v>
      </c>
    </row>
    <row r="6" spans="1:27">
      <c r="A6" s="5" t="s">
        <v>0</v>
      </c>
      <c r="B6" s="2">
        <v>2.2812999999999999</v>
      </c>
      <c r="C6" s="2">
        <v>1.9474333333333336</v>
      </c>
      <c r="D6" s="2">
        <v>1.7000999999999999</v>
      </c>
      <c r="E6" s="2">
        <v>0.54200000000000004</v>
      </c>
      <c r="F6" s="2">
        <v>0.51709722222222221</v>
      </c>
      <c r="G6" s="2">
        <v>0.48449999999999999</v>
      </c>
      <c r="I6" s="6" t="s">
        <v>11</v>
      </c>
      <c r="J6" s="10">
        <f t="shared" ref="J6:J10" si="6">B7</f>
        <v>2.4165999999999999</v>
      </c>
      <c r="K6" s="10">
        <f t="shared" si="3"/>
        <v>1.9746944444444443</v>
      </c>
      <c r="L6" s="10">
        <f t="shared" si="3"/>
        <v>1.6641999999999999</v>
      </c>
      <c r="M6" s="10">
        <f t="shared" si="3"/>
        <v>0.55600000000000005</v>
      </c>
      <c r="N6" s="10">
        <f t="shared" si="3"/>
        <v>0.52134722222222218</v>
      </c>
      <c r="O6" s="10">
        <f t="shared" si="3"/>
        <v>0.49199999999999999</v>
      </c>
      <c r="P6" s="10">
        <f t="shared" ref="P6:U10" si="7">B14</f>
        <v>2.4001999999999999</v>
      </c>
      <c r="Q6" s="10">
        <f t="shared" si="7"/>
        <v>1.9275083333333332</v>
      </c>
      <c r="R6" s="10">
        <f t="shared" si="7"/>
        <v>1.6236999999999999</v>
      </c>
      <c r="S6" s="10">
        <f t="shared" si="7"/>
        <v>0.56299999999999994</v>
      </c>
      <c r="T6" s="10">
        <f t="shared" si="7"/>
        <v>0.52990277777777772</v>
      </c>
      <c r="U6" s="10">
        <f t="shared" si="7"/>
        <v>0.4955</v>
      </c>
      <c r="V6" s="10">
        <f t="shared" ref="V6:AA10" si="8">B21</f>
        <v>2.3170999999999999</v>
      </c>
      <c r="W6" s="10">
        <f t="shared" si="8"/>
        <v>1.876271428571429</v>
      </c>
      <c r="X6" s="10">
        <f t="shared" si="8"/>
        <v>1.6671</v>
      </c>
      <c r="Y6" s="10">
        <f t="shared" si="8"/>
        <v>0.56699999999999995</v>
      </c>
      <c r="Z6" s="10">
        <f t="shared" si="8"/>
        <v>0.53491428571428579</v>
      </c>
      <c r="AA6" s="10">
        <f t="shared" si="8"/>
        <v>0.50649999999999995</v>
      </c>
    </row>
    <row r="7" spans="1:27">
      <c r="A7" s="5" t="s">
        <v>1</v>
      </c>
      <c r="B7" s="2">
        <v>2.4165999999999999</v>
      </c>
      <c r="C7" s="2">
        <v>1.9746944444444443</v>
      </c>
      <c r="D7" s="2">
        <v>1.6641999999999999</v>
      </c>
      <c r="E7" s="2">
        <v>0.55600000000000005</v>
      </c>
      <c r="F7" s="2">
        <v>0.52134722222222218</v>
      </c>
      <c r="G7" s="2">
        <v>0.49199999999999999</v>
      </c>
      <c r="I7" s="6" t="s">
        <v>12</v>
      </c>
      <c r="J7" s="10">
        <f t="shared" si="6"/>
        <v>2.4243000000000001</v>
      </c>
      <c r="K7" s="10">
        <f t="shared" si="3"/>
        <v>1.9874499999999999</v>
      </c>
      <c r="L7" s="10">
        <f t="shared" si="3"/>
        <v>1.6950000000000001</v>
      </c>
      <c r="M7" s="10">
        <f t="shared" si="3"/>
        <v>0.55349999999999999</v>
      </c>
      <c r="N7" s="10">
        <f t="shared" si="3"/>
        <v>0.52573611111111107</v>
      </c>
      <c r="O7" s="10">
        <f t="shared" si="3"/>
        <v>0.48499999999999999</v>
      </c>
      <c r="P7" s="10">
        <f t="shared" si="7"/>
        <v>2.4049999999999998</v>
      </c>
      <c r="Q7" s="10">
        <f t="shared" si="7"/>
        <v>1.9378222222222219</v>
      </c>
      <c r="R7" s="10">
        <f t="shared" si="7"/>
        <v>1.6292</v>
      </c>
      <c r="S7" s="10">
        <f t="shared" si="7"/>
        <v>0.56850000000000001</v>
      </c>
      <c r="T7" s="10">
        <f t="shared" si="7"/>
        <v>0.53431944444444435</v>
      </c>
      <c r="U7" s="10">
        <f t="shared" si="7"/>
        <v>0.4945</v>
      </c>
      <c r="V7" s="10">
        <f t="shared" si="8"/>
        <v>2.3315999999999999</v>
      </c>
      <c r="W7" s="10">
        <f t="shared" si="8"/>
        <v>1.8992542857142858</v>
      </c>
      <c r="X7" s="10">
        <f t="shared" si="8"/>
        <v>1.6083000000000001</v>
      </c>
      <c r="Y7" s="10">
        <f t="shared" si="8"/>
        <v>0.55900000000000005</v>
      </c>
      <c r="Z7" s="10">
        <f t="shared" si="8"/>
        <v>0.53527142857142862</v>
      </c>
      <c r="AA7" s="10">
        <f t="shared" si="8"/>
        <v>0.505</v>
      </c>
    </row>
    <row r="8" spans="1:27">
      <c r="A8" s="5" t="s">
        <v>2</v>
      </c>
      <c r="B8" s="2">
        <v>2.4243000000000001</v>
      </c>
      <c r="C8" s="2">
        <v>1.9874499999999999</v>
      </c>
      <c r="D8" s="2">
        <v>1.6950000000000001</v>
      </c>
      <c r="E8" s="2">
        <v>0.55349999999999999</v>
      </c>
      <c r="F8" s="2">
        <v>0.52573611111111107</v>
      </c>
      <c r="G8" s="2">
        <v>0.48499999999999999</v>
      </c>
      <c r="I8" s="6" t="s">
        <v>13</v>
      </c>
      <c r="J8" s="10">
        <f t="shared" si="6"/>
        <v>2.4975000000000001</v>
      </c>
      <c r="K8" s="10">
        <f t="shared" si="3"/>
        <v>2.0161694444444445</v>
      </c>
      <c r="L8" s="10">
        <f t="shared" si="3"/>
        <v>1.6837</v>
      </c>
      <c r="M8" s="10">
        <f t="shared" si="3"/>
        <v>0.56100000000000005</v>
      </c>
      <c r="N8" s="10">
        <f t="shared" si="3"/>
        <v>0.5274861111111111</v>
      </c>
      <c r="O8" s="10">
        <f t="shared" si="3"/>
        <v>0.47149999999999997</v>
      </c>
      <c r="P8" s="10">
        <f t="shared" si="7"/>
        <v>2.5337999999999998</v>
      </c>
      <c r="Q8" s="10">
        <f t="shared" si="7"/>
        <v>1.9594027777777774</v>
      </c>
      <c r="R8" s="10">
        <f t="shared" si="7"/>
        <v>1.6264000000000001</v>
      </c>
      <c r="S8" s="10">
        <f t="shared" si="7"/>
        <v>0.55900000000000005</v>
      </c>
      <c r="T8" s="10">
        <f t="shared" si="7"/>
        <v>0.53309722222222211</v>
      </c>
      <c r="U8" s="10">
        <f t="shared" si="7"/>
        <v>0.497</v>
      </c>
      <c r="V8" s="10">
        <f t="shared" si="8"/>
        <v>2.4964</v>
      </c>
      <c r="W8" s="10">
        <f t="shared" si="8"/>
        <v>1.9332199999999997</v>
      </c>
      <c r="X8" s="10">
        <f t="shared" si="8"/>
        <v>1.5972999999999999</v>
      </c>
      <c r="Y8" s="10">
        <f t="shared" si="8"/>
        <v>0.57350000000000001</v>
      </c>
      <c r="Z8" s="10">
        <f t="shared" si="8"/>
        <v>0.53398571428571429</v>
      </c>
      <c r="AA8" s="10">
        <f t="shared" si="8"/>
        <v>0.4945</v>
      </c>
    </row>
    <row r="9" spans="1:27">
      <c r="A9" s="5" t="s">
        <v>3</v>
      </c>
      <c r="B9" s="2">
        <v>2.4975000000000001</v>
      </c>
      <c r="C9" s="2">
        <v>2.0161694444444445</v>
      </c>
      <c r="D9" s="2">
        <v>1.6837</v>
      </c>
      <c r="E9" s="2">
        <v>0.56100000000000005</v>
      </c>
      <c r="F9" s="2">
        <v>0.5274861111111111</v>
      </c>
      <c r="G9" s="2">
        <v>0.47149999999999997</v>
      </c>
      <c r="I9" s="6" t="s">
        <v>14</v>
      </c>
      <c r="J9" s="10">
        <f t="shared" si="6"/>
        <v>2.5110000000000001</v>
      </c>
      <c r="K9" s="10">
        <f t="shared" si="3"/>
        <v>2.0398027777777781</v>
      </c>
      <c r="L9" s="10">
        <f t="shared" si="3"/>
        <v>1.6559999999999999</v>
      </c>
      <c r="M9" s="10">
        <f t="shared" si="3"/>
        <v>0.5595</v>
      </c>
      <c r="N9" s="10">
        <f t="shared" si="3"/>
        <v>0.52725</v>
      </c>
      <c r="O9" s="10">
        <f t="shared" si="3"/>
        <v>0.49199999999999999</v>
      </c>
      <c r="P9" s="10">
        <f t="shared" si="7"/>
        <v>2.4651999999999998</v>
      </c>
      <c r="Q9" s="10">
        <f t="shared" si="7"/>
        <v>2.0044666666666662</v>
      </c>
      <c r="R9" s="10">
        <f t="shared" si="7"/>
        <v>1.6259999999999999</v>
      </c>
      <c r="S9" s="10">
        <f t="shared" si="7"/>
        <v>0.55600000000000005</v>
      </c>
      <c r="T9" s="10">
        <f t="shared" si="7"/>
        <v>0.53179166666666666</v>
      </c>
      <c r="U9" s="10">
        <f t="shared" si="7"/>
        <v>0.50349999999999995</v>
      </c>
      <c r="V9" s="10">
        <f t="shared" si="8"/>
        <v>2.516</v>
      </c>
      <c r="W9" s="10">
        <f t="shared" si="8"/>
        <v>1.9670457142857145</v>
      </c>
      <c r="X9" s="10">
        <f t="shared" si="8"/>
        <v>1.639</v>
      </c>
      <c r="Y9" s="10">
        <f t="shared" si="8"/>
        <v>0.5605</v>
      </c>
      <c r="Z9" s="10">
        <f t="shared" si="8"/>
        <v>0.53418571428571404</v>
      </c>
      <c r="AA9" s="10">
        <f t="shared" si="8"/>
        <v>0.48899999999999999</v>
      </c>
    </row>
    <row r="10" spans="1:27">
      <c r="A10" s="5" t="s">
        <v>4</v>
      </c>
      <c r="B10" s="2">
        <v>2.5110000000000001</v>
      </c>
      <c r="C10" s="2">
        <v>2.0398027777777781</v>
      </c>
      <c r="D10" s="2">
        <v>1.6559999999999999</v>
      </c>
      <c r="E10" s="2">
        <v>0.5595</v>
      </c>
      <c r="F10" s="2">
        <v>0.52725</v>
      </c>
      <c r="G10" s="2">
        <v>0.49199999999999999</v>
      </c>
      <c r="I10" s="6" t="s">
        <v>15</v>
      </c>
      <c r="J10" s="10">
        <f t="shared" si="6"/>
        <v>2.6053000000000002</v>
      </c>
      <c r="K10" s="10">
        <f t="shared" si="3"/>
        <v>2.0666972222222229</v>
      </c>
      <c r="L10" s="10">
        <f t="shared" si="3"/>
        <v>1.6727000000000001</v>
      </c>
      <c r="M10" s="10">
        <f t="shared" si="3"/>
        <v>0.56799999999999995</v>
      </c>
      <c r="N10" s="10">
        <f t="shared" si="3"/>
        <v>0.52798611111111116</v>
      </c>
      <c r="O10" s="10">
        <f t="shared" si="3"/>
        <v>0.48899999999999999</v>
      </c>
      <c r="P10" s="10">
        <f t="shared" si="7"/>
        <v>2.4910999999999999</v>
      </c>
      <c r="Q10" s="10">
        <f t="shared" si="7"/>
        <v>2.008572222222222</v>
      </c>
      <c r="R10" s="10">
        <f t="shared" si="7"/>
        <v>1.6247</v>
      </c>
      <c r="S10" s="10">
        <f t="shared" si="7"/>
        <v>0.56699999999999995</v>
      </c>
      <c r="T10" s="10">
        <f t="shared" si="7"/>
        <v>0.53213888888888894</v>
      </c>
      <c r="U10" s="10">
        <f t="shared" si="7"/>
        <v>0.4985</v>
      </c>
      <c r="V10" s="10">
        <f t="shared" si="8"/>
        <v>2.4615999999999998</v>
      </c>
      <c r="W10" s="10">
        <f t="shared" si="8"/>
        <v>1.9913628571428568</v>
      </c>
      <c r="X10" s="10">
        <f t="shared" si="8"/>
        <v>1.6245000000000001</v>
      </c>
      <c r="Y10" s="10">
        <f t="shared" si="8"/>
        <v>0.56699999999999995</v>
      </c>
      <c r="Z10" s="10">
        <f t="shared" si="8"/>
        <v>0.53595714285714291</v>
      </c>
      <c r="AA10" s="10">
        <f t="shared" si="8"/>
        <v>0.50549999999999995</v>
      </c>
    </row>
    <row r="11" spans="1:27">
      <c r="A11" s="5" t="s">
        <v>5</v>
      </c>
      <c r="B11" s="2">
        <v>2.6053000000000002</v>
      </c>
      <c r="C11" s="2">
        <v>2.0666972222222229</v>
      </c>
      <c r="D11" s="2">
        <v>1.6727000000000001</v>
      </c>
      <c r="E11" s="2">
        <v>0.56799999999999995</v>
      </c>
      <c r="F11" s="2">
        <v>0.52798611111111116</v>
      </c>
      <c r="G11" s="2">
        <v>0.48899999999999999</v>
      </c>
    </row>
    <row r="12" spans="1:27">
      <c r="A12" s="4">
        <v>128</v>
      </c>
      <c r="B12" s="2">
        <v>2.5337999999999998</v>
      </c>
      <c r="C12" s="2">
        <v>1.9547726851851845</v>
      </c>
      <c r="D12" s="2">
        <v>1.6055999999999999</v>
      </c>
      <c r="E12" s="2">
        <v>0.56850000000000001</v>
      </c>
      <c r="F12" s="2">
        <v>0.53151388888888906</v>
      </c>
      <c r="G12" s="2">
        <v>0.48599999999999999</v>
      </c>
    </row>
    <row r="13" spans="1:27">
      <c r="A13" s="5" t="s">
        <v>0</v>
      </c>
      <c r="B13" s="2">
        <v>2.2658</v>
      </c>
      <c r="C13" s="2">
        <v>1.8908638888888889</v>
      </c>
      <c r="D13" s="2">
        <v>1.6055999999999999</v>
      </c>
      <c r="E13" s="2">
        <v>0.55900000000000005</v>
      </c>
      <c r="F13" s="2">
        <v>0.52783333333333349</v>
      </c>
      <c r="G13" s="2">
        <v>0.48599999999999999</v>
      </c>
    </row>
    <row r="14" spans="1:27">
      <c r="A14" s="5" t="s">
        <v>1</v>
      </c>
      <c r="B14" s="2">
        <v>2.4001999999999999</v>
      </c>
      <c r="C14" s="2">
        <v>1.9275083333333332</v>
      </c>
      <c r="D14" s="2">
        <v>1.6236999999999999</v>
      </c>
      <c r="E14" s="2">
        <v>0.56299999999999994</v>
      </c>
      <c r="F14" s="2">
        <v>0.52990277777777772</v>
      </c>
      <c r="G14" s="2">
        <v>0.4955</v>
      </c>
    </row>
    <row r="15" spans="1:27">
      <c r="A15" s="5" t="s">
        <v>2</v>
      </c>
      <c r="B15" s="2">
        <v>2.4049999999999998</v>
      </c>
      <c r="C15" s="2">
        <v>1.9378222222222219</v>
      </c>
      <c r="D15" s="2">
        <v>1.6292</v>
      </c>
      <c r="E15" s="2">
        <v>0.56850000000000001</v>
      </c>
      <c r="F15" s="2">
        <v>0.53431944444444435</v>
      </c>
      <c r="G15" s="2">
        <v>0.4945</v>
      </c>
    </row>
    <row r="16" spans="1:27">
      <c r="A16" s="5" t="s">
        <v>3</v>
      </c>
      <c r="B16" s="2">
        <v>2.5337999999999998</v>
      </c>
      <c r="C16" s="2">
        <v>1.9594027777777774</v>
      </c>
      <c r="D16" s="2">
        <v>1.6264000000000001</v>
      </c>
      <c r="E16" s="2">
        <v>0.55900000000000005</v>
      </c>
      <c r="F16" s="2">
        <v>0.53309722222222211</v>
      </c>
      <c r="G16" s="2">
        <v>0.497</v>
      </c>
    </row>
    <row r="17" spans="1:7">
      <c r="A17" s="5" t="s">
        <v>4</v>
      </c>
      <c r="B17" s="2">
        <v>2.4651999999999998</v>
      </c>
      <c r="C17" s="2">
        <v>2.0044666666666662</v>
      </c>
      <c r="D17" s="2">
        <v>1.6259999999999999</v>
      </c>
      <c r="E17" s="2">
        <v>0.55600000000000005</v>
      </c>
      <c r="F17" s="2">
        <v>0.53179166666666666</v>
      </c>
      <c r="G17" s="2">
        <v>0.50349999999999995</v>
      </c>
    </row>
    <row r="18" spans="1:7">
      <c r="A18" s="5" t="s">
        <v>5</v>
      </c>
      <c r="B18" s="2">
        <v>2.4910999999999999</v>
      </c>
      <c r="C18" s="2">
        <v>2.008572222222222</v>
      </c>
      <c r="D18" s="2">
        <v>1.6247</v>
      </c>
      <c r="E18" s="2">
        <v>0.56699999999999995</v>
      </c>
      <c r="F18" s="2">
        <v>0.53213888888888894</v>
      </c>
      <c r="G18" s="2">
        <v>0.4985</v>
      </c>
    </row>
    <row r="19" spans="1:7">
      <c r="A19" s="4">
        <v>256</v>
      </c>
      <c r="B19" s="2">
        <v>2.516</v>
      </c>
      <c r="C19" s="2">
        <v>1.9243685714285728</v>
      </c>
      <c r="D19" s="2">
        <v>1.5972999999999999</v>
      </c>
      <c r="E19" s="2">
        <v>0.57350000000000001</v>
      </c>
      <c r="F19" s="2">
        <v>0.53379047619047604</v>
      </c>
      <c r="G19" s="2">
        <v>0.48899999999999999</v>
      </c>
    </row>
    <row r="20" spans="1:7">
      <c r="A20" s="5" t="s">
        <v>0</v>
      </c>
      <c r="B20" s="2">
        <v>2.3136000000000001</v>
      </c>
      <c r="C20" s="2">
        <v>1.8790571428571436</v>
      </c>
      <c r="D20" s="2">
        <v>1.6545000000000001</v>
      </c>
      <c r="E20" s="2">
        <v>0.55149999999999999</v>
      </c>
      <c r="F20" s="2">
        <v>0.52842857142857147</v>
      </c>
      <c r="G20" s="2">
        <v>0.496</v>
      </c>
    </row>
    <row r="21" spans="1:7">
      <c r="A21" s="5" t="s">
        <v>1</v>
      </c>
      <c r="B21" s="2">
        <v>2.3170999999999999</v>
      </c>
      <c r="C21" s="2">
        <v>1.876271428571429</v>
      </c>
      <c r="D21" s="2">
        <v>1.6671</v>
      </c>
      <c r="E21" s="2">
        <v>0.56699999999999995</v>
      </c>
      <c r="F21" s="2">
        <v>0.53491428571428579</v>
      </c>
      <c r="G21" s="2">
        <v>0.50649999999999995</v>
      </c>
    </row>
    <row r="22" spans="1:7">
      <c r="A22" s="5" t="s">
        <v>2</v>
      </c>
      <c r="B22" s="2">
        <v>2.3315999999999999</v>
      </c>
      <c r="C22" s="2">
        <v>1.8992542857142858</v>
      </c>
      <c r="D22" s="2">
        <v>1.6083000000000001</v>
      </c>
      <c r="E22" s="2">
        <v>0.55900000000000005</v>
      </c>
      <c r="F22" s="2">
        <v>0.53527142857142862</v>
      </c>
      <c r="G22" s="2">
        <v>0.505</v>
      </c>
    </row>
    <row r="23" spans="1:7">
      <c r="A23" s="5" t="s">
        <v>3</v>
      </c>
      <c r="B23" s="2">
        <v>2.4964</v>
      </c>
      <c r="C23" s="2">
        <v>1.9332199999999997</v>
      </c>
      <c r="D23" s="2">
        <v>1.5972999999999999</v>
      </c>
      <c r="E23" s="2">
        <v>0.57350000000000001</v>
      </c>
      <c r="F23" s="2">
        <v>0.53398571428571429</v>
      </c>
      <c r="G23" s="2">
        <v>0.4945</v>
      </c>
    </row>
    <row r="24" spans="1:7">
      <c r="A24" s="5" t="s">
        <v>4</v>
      </c>
      <c r="B24" s="2">
        <v>2.516</v>
      </c>
      <c r="C24" s="2">
        <v>1.9670457142857145</v>
      </c>
      <c r="D24" s="2">
        <v>1.639</v>
      </c>
      <c r="E24" s="2">
        <v>0.5605</v>
      </c>
      <c r="F24" s="2">
        <v>0.53418571428571404</v>
      </c>
      <c r="G24" s="2">
        <v>0.48899999999999999</v>
      </c>
    </row>
    <row r="25" spans="1:7">
      <c r="A25" s="5" t="s">
        <v>5</v>
      </c>
      <c r="B25" s="2">
        <v>2.4615999999999998</v>
      </c>
      <c r="C25" s="2">
        <v>1.9913628571428568</v>
      </c>
      <c r="D25" s="2">
        <v>1.6245000000000001</v>
      </c>
      <c r="E25" s="2">
        <v>0.56699999999999995</v>
      </c>
      <c r="F25" s="2">
        <v>0.53595714285714291</v>
      </c>
      <c r="G25" s="2">
        <v>0.50549999999999995</v>
      </c>
    </row>
    <row r="26" spans="1:7">
      <c r="A26" s="4" t="s">
        <v>8</v>
      </c>
      <c r="B26" s="2">
        <v>2.6053000000000002</v>
      </c>
      <c r="C26" s="2">
        <v>1.9618523364485956</v>
      </c>
      <c r="D26" s="2">
        <v>1.5972999999999999</v>
      </c>
      <c r="E26" s="2">
        <v>0.57350000000000001</v>
      </c>
      <c r="F26" s="2">
        <v>0.52989330218068642</v>
      </c>
      <c r="G26" s="2">
        <v>0.47149999999999997</v>
      </c>
    </row>
  </sheetData>
  <pageMargins left="0.75" right="0.75" top="1" bottom="1" header="0.5" footer="0.5"/>
  <pageSetup orientation="portrait" horizontalDpi="4294967292" verticalDpi="4294967292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A26"/>
  <sheetViews>
    <sheetView workbookViewId="0">
      <selection activeCell="O14" sqref="O14"/>
    </sheetView>
  </sheetViews>
  <sheetFormatPr baseColWidth="10" defaultRowHeight="15" x14ac:dyDescent="0"/>
  <cols>
    <col min="1" max="1" width="13" customWidth="1"/>
    <col min="2" max="2" width="8.6640625" bestFit="1" customWidth="1"/>
    <col min="3" max="3" width="12.1640625" bestFit="1" customWidth="1"/>
    <col min="4" max="4" width="8.33203125" bestFit="1" customWidth="1"/>
    <col min="5" max="5" width="10.1640625" bestFit="1" customWidth="1"/>
    <col min="6" max="6" width="12.1640625" customWidth="1"/>
    <col min="7" max="7" width="7.83203125" customWidth="1"/>
    <col min="8" max="8" width="15.6640625" bestFit="1" customWidth="1"/>
    <col min="10" max="15" width="8.83203125" customWidth="1"/>
    <col min="16" max="21" width="9.33203125" customWidth="1"/>
  </cols>
  <sheetData>
    <row r="3" spans="1:27">
      <c r="B3" s="3" t="s">
        <v>9</v>
      </c>
    </row>
    <row r="4" spans="1:27" ht="30">
      <c r="A4" s="3" t="s">
        <v>7</v>
      </c>
      <c r="B4" t="s">
        <v>19</v>
      </c>
      <c r="C4" t="s">
        <v>18</v>
      </c>
      <c r="D4" t="s">
        <v>20</v>
      </c>
      <c r="E4" t="s">
        <v>541</v>
      </c>
      <c r="F4" t="s">
        <v>21</v>
      </c>
      <c r="G4" t="s">
        <v>22</v>
      </c>
      <c r="I4" s="7" t="s">
        <v>6</v>
      </c>
      <c r="J4" s="8" t="str">
        <f>CONCATENATE($A$5, " - ", LOWER(B4))</f>
        <v>64 - max loss</v>
      </c>
      <c r="K4" s="8" t="str">
        <f t="shared" ref="K4:O4" si="0">CONCATENATE($A$5, " - ", LOWER(C4))</f>
        <v>64 - avg loss</v>
      </c>
      <c r="L4" s="8" t="str">
        <f t="shared" si="0"/>
        <v>64 - min loss</v>
      </c>
      <c r="M4" s="8" t="str">
        <f t="shared" si="0"/>
        <v>64 - max of acc</v>
      </c>
      <c r="N4" s="8" t="str">
        <f t="shared" si="0"/>
        <v>64 - avg acc</v>
      </c>
      <c r="O4" s="8" t="str">
        <f t="shared" si="0"/>
        <v>64 - min acc</v>
      </c>
      <c r="P4" s="8" t="str">
        <f>CONCATENATE($A$12, " - ", LOWER(B4))</f>
        <v>128 - max loss</v>
      </c>
      <c r="Q4" s="8" t="str">
        <f t="shared" ref="Q4:U4" si="1">CONCATENATE($A$12, " - ", LOWER(C4))</f>
        <v>128 - avg loss</v>
      </c>
      <c r="R4" s="8" t="str">
        <f t="shared" si="1"/>
        <v>128 - min loss</v>
      </c>
      <c r="S4" s="8" t="str">
        <f t="shared" si="1"/>
        <v>128 - max of acc</v>
      </c>
      <c r="T4" s="8" t="str">
        <f t="shared" si="1"/>
        <v>128 - avg acc</v>
      </c>
      <c r="U4" s="8" t="str">
        <f t="shared" si="1"/>
        <v>128 - min acc</v>
      </c>
      <c r="V4" s="8" t="str">
        <f>CONCATENATE($A$19, " - ", LOWER(B4))</f>
        <v>256 - max loss</v>
      </c>
      <c r="W4" s="8" t="str">
        <f t="shared" ref="W4:AA4" si="2">CONCATENATE($A$19, " - ", LOWER(C4))</f>
        <v>256 - avg loss</v>
      </c>
      <c r="X4" s="8" t="str">
        <f t="shared" si="2"/>
        <v>256 - min loss</v>
      </c>
      <c r="Y4" s="8" t="str">
        <f t="shared" si="2"/>
        <v>256 - max of acc</v>
      </c>
      <c r="Z4" s="8" t="str">
        <f t="shared" si="2"/>
        <v>256 - avg acc</v>
      </c>
      <c r="AA4" s="8" t="str">
        <f t="shared" si="2"/>
        <v>256 - min acc</v>
      </c>
    </row>
    <row r="5" spans="1:27">
      <c r="A5" s="4">
        <v>64</v>
      </c>
      <c r="B5" s="2">
        <v>2.6053000000000002</v>
      </c>
      <c r="C5" s="2">
        <v>2.0164847222222231</v>
      </c>
      <c r="D5" s="2">
        <v>1.6641999999999999</v>
      </c>
      <c r="E5" s="2">
        <v>0.56799999999999995</v>
      </c>
      <c r="F5" s="2">
        <v>0.52266666666666672</v>
      </c>
      <c r="G5" s="2">
        <v>0.47149999999999997</v>
      </c>
      <c r="I5" s="6" t="s">
        <v>10</v>
      </c>
      <c r="J5" s="10">
        <f>B6</f>
        <v>2.2812999999999999</v>
      </c>
      <c r="K5" s="10">
        <f t="shared" ref="K5:O10" si="3">C6</f>
        <v>1.9632750000000003</v>
      </c>
      <c r="L5" s="10">
        <f t="shared" si="3"/>
        <v>1.7635000000000001</v>
      </c>
      <c r="M5" s="10">
        <f t="shared" si="3"/>
        <v>0.53</v>
      </c>
      <c r="N5" s="10">
        <f t="shared" si="3"/>
        <v>0.51402083333333337</v>
      </c>
      <c r="O5" s="10">
        <f t="shared" si="3"/>
        <v>0.48449999999999999</v>
      </c>
      <c r="P5" s="10">
        <f>B13</f>
        <v>2.2658</v>
      </c>
      <c r="Q5" s="10">
        <f t="shared" ref="Q5:U5" si="4">C13</f>
        <v>1.9096833333333336</v>
      </c>
      <c r="R5" s="10">
        <f t="shared" si="4"/>
        <v>1.6588000000000001</v>
      </c>
      <c r="S5" s="10">
        <f t="shared" si="4"/>
        <v>0.55449999999999999</v>
      </c>
      <c r="T5" s="10">
        <f t="shared" si="4"/>
        <v>0.5221041666666667</v>
      </c>
      <c r="U5" s="10">
        <f t="shared" si="4"/>
        <v>0.48599999999999999</v>
      </c>
      <c r="V5" s="10">
        <f>B20</f>
        <v>2.3136000000000001</v>
      </c>
      <c r="W5" s="10">
        <f t="shared" ref="W5:AA5" si="5">C20</f>
        <v>1.8970086956521746</v>
      </c>
      <c r="X5" s="10">
        <f t="shared" si="5"/>
        <v>1.663</v>
      </c>
      <c r="Y5" s="10">
        <f t="shared" si="5"/>
        <v>0.54749999999999999</v>
      </c>
      <c r="Z5" s="10">
        <f t="shared" si="5"/>
        <v>0.52156521739130424</v>
      </c>
      <c r="AA5" s="10">
        <f t="shared" si="5"/>
        <v>0.496</v>
      </c>
    </row>
    <row r="6" spans="1:27">
      <c r="A6" s="5" t="s">
        <v>0</v>
      </c>
      <c r="B6" s="2">
        <v>2.2812999999999999</v>
      </c>
      <c r="C6" s="2">
        <v>1.9632750000000003</v>
      </c>
      <c r="D6" s="2">
        <v>1.7635000000000001</v>
      </c>
      <c r="E6" s="2">
        <v>0.53</v>
      </c>
      <c r="F6" s="2">
        <v>0.51402083333333337</v>
      </c>
      <c r="G6" s="2">
        <v>0.48449999999999999</v>
      </c>
      <c r="I6" s="6" t="s">
        <v>11</v>
      </c>
      <c r="J6" s="10">
        <f t="shared" ref="J6:J10" si="6">B7</f>
        <v>2.4165999999999999</v>
      </c>
      <c r="K6" s="10">
        <f t="shared" si="3"/>
        <v>1.9815458333333333</v>
      </c>
      <c r="L6" s="10">
        <f t="shared" si="3"/>
        <v>1.6641999999999999</v>
      </c>
      <c r="M6" s="10">
        <f t="shared" si="3"/>
        <v>0.55600000000000005</v>
      </c>
      <c r="N6" s="10">
        <f t="shared" si="3"/>
        <v>0.52043749999999989</v>
      </c>
      <c r="O6" s="10">
        <f t="shared" si="3"/>
        <v>0.49199999999999999</v>
      </c>
      <c r="P6" s="10">
        <f t="shared" ref="P6:U10" si="7">B14</f>
        <v>2.4001999999999999</v>
      </c>
      <c r="Q6" s="10">
        <f t="shared" si="7"/>
        <v>1.9362916666666667</v>
      </c>
      <c r="R6" s="10">
        <f t="shared" si="7"/>
        <v>1.6236999999999999</v>
      </c>
      <c r="S6" s="10">
        <f t="shared" si="7"/>
        <v>0.56299999999999994</v>
      </c>
      <c r="T6" s="10">
        <f t="shared" si="7"/>
        <v>0.52683333333333326</v>
      </c>
      <c r="U6" s="10">
        <f t="shared" si="7"/>
        <v>0.4955</v>
      </c>
      <c r="V6" s="10">
        <f t="shared" ref="V6:AA10" si="8">B21</f>
        <v>2.3170999999999999</v>
      </c>
      <c r="W6" s="10">
        <f t="shared" si="8"/>
        <v>1.8854391304347828</v>
      </c>
      <c r="X6" s="10">
        <f t="shared" si="8"/>
        <v>1.6862999999999999</v>
      </c>
      <c r="Y6" s="10">
        <f t="shared" si="8"/>
        <v>0.56699999999999995</v>
      </c>
      <c r="Z6" s="10">
        <f t="shared" si="8"/>
        <v>0.53080434782608699</v>
      </c>
      <c r="AA6" s="10">
        <f t="shared" si="8"/>
        <v>0.50649999999999995</v>
      </c>
    </row>
    <row r="7" spans="1:27">
      <c r="A7" s="5" t="s">
        <v>1</v>
      </c>
      <c r="B7" s="2">
        <v>2.4165999999999999</v>
      </c>
      <c r="C7" s="2">
        <v>1.9815458333333333</v>
      </c>
      <c r="D7" s="2">
        <v>1.6641999999999999</v>
      </c>
      <c r="E7" s="2">
        <v>0.55600000000000005</v>
      </c>
      <c r="F7" s="2">
        <v>0.52043749999999989</v>
      </c>
      <c r="G7" s="2">
        <v>0.49199999999999999</v>
      </c>
      <c r="I7" s="6" t="s">
        <v>12</v>
      </c>
      <c r="J7" s="10">
        <f t="shared" si="6"/>
        <v>2.4243000000000001</v>
      </c>
      <c r="K7" s="10">
        <f t="shared" si="3"/>
        <v>1.9959958333333334</v>
      </c>
      <c r="L7" s="10">
        <f t="shared" si="3"/>
        <v>1.7235</v>
      </c>
      <c r="M7" s="10">
        <f t="shared" si="3"/>
        <v>0.55349999999999999</v>
      </c>
      <c r="N7" s="10">
        <f t="shared" si="3"/>
        <v>0.52406249999999988</v>
      </c>
      <c r="O7" s="10">
        <f t="shared" si="3"/>
        <v>0.48499999999999999</v>
      </c>
      <c r="P7" s="10">
        <f t="shared" si="7"/>
        <v>2.3662000000000001</v>
      </c>
      <c r="Q7" s="10">
        <f t="shared" si="7"/>
        <v>1.9560791666666668</v>
      </c>
      <c r="R7" s="10">
        <f t="shared" si="7"/>
        <v>1.6406000000000001</v>
      </c>
      <c r="S7" s="10">
        <f t="shared" si="7"/>
        <v>0.56850000000000001</v>
      </c>
      <c r="T7" s="10">
        <f t="shared" si="7"/>
        <v>0.53045833333333325</v>
      </c>
      <c r="U7" s="10">
        <f t="shared" si="7"/>
        <v>0.50800000000000001</v>
      </c>
      <c r="V7" s="10">
        <f t="shared" si="8"/>
        <v>2.3315999999999999</v>
      </c>
      <c r="W7" s="10">
        <f t="shared" si="8"/>
        <v>1.9023086956521744</v>
      </c>
      <c r="X7" s="10">
        <f t="shared" si="8"/>
        <v>1.6083000000000001</v>
      </c>
      <c r="Y7" s="10">
        <f t="shared" si="8"/>
        <v>0.55700000000000005</v>
      </c>
      <c r="Z7" s="10">
        <f t="shared" si="8"/>
        <v>0.53326086956521734</v>
      </c>
      <c r="AA7" s="10">
        <f t="shared" si="8"/>
        <v>0.505</v>
      </c>
    </row>
    <row r="8" spans="1:27">
      <c r="A8" s="5" t="s">
        <v>2</v>
      </c>
      <c r="B8" s="2">
        <v>2.4243000000000001</v>
      </c>
      <c r="C8" s="2">
        <v>1.9959958333333334</v>
      </c>
      <c r="D8" s="2">
        <v>1.7235</v>
      </c>
      <c r="E8" s="2">
        <v>0.55349999999999999</v>
      </c>
      <c r="F8" s="2">
        <v>0.52406249999999988</v>
      </c>
      <c r="G8" s="2">
        <v>0.48499999999999999</v>
      </c>
      <c r="I8" s="6" t="s">
        <v>13</v>
      </c>
      <c r="J8" s="10">
        <f t="shared" si="6"/>
        <v>2.4975000000000001</v>
      </c>
      <c r="K8" s="10">
        <f t="shared" si="3"/>
        <v>2.026183333333333</v>
      </c>
      <c r="L8" s="10">
        <f t="shared" si="3"/>
        <v>1.7457</v>
      </c>
      <c r="M8" s="10">
        <f t="shared" si="3"/>
        <v>0.55800000000000005</v>
      </c>
      <c r="N8" s="10">
        <f t="shared" si="3"/>
        <v>0.5256249999999999</v>
      </c>
      <c r="O8" s="10">
        <f t="shared" si="3"/>
        <v>0.47149999999999997</v>
      </c>
      <c r="P8" s="10">
        <f t="shared" si="7"/>
        <v>2.5337999999999998</v>
      </c>
      <c r="Q8" s="10">
        <f t="shared" si="7"/>
        <v>1.9742374999999994</v>
      </c>
      <c r="R8" s="10">
        <f t="shared" si="7"/>
        <v>1.6688000000000001</v>
      </c>
      <c r="S8" s="10">
        <f t="shared" si="7"/>
        <v>0.55400000000000005</v>
      </c>
      <c r="T8" s="10">
        <f t="shared" si="7"/>
        <v>0.52977083333333341</v>
      </c>
      <c r="U8" s="10">
        <f t="shared" si="7"/>
        <v>0.497</v>
      </c>
      <c r="V8" s="10">
        <f t="shared" si="8"/>
        <v>2.4964</v>
      </c>
      <c r="W8" s="10">
        <f t="shared" si="8"/>
        <v>1.947813043478261</v>
      </c>
      <c r="X8" s="10">
        <f t="shared" si="8"/>
        <v>1.6809000000000001</v>
      </c>
      <c r="Y8" s="10">
        <f t="shared" si="8"/>
        <v>0.56000000000000005</v>
      </c>
      <c r="Z8" s="10">
        <f t="shared" si="8"/>
        <v>0.52934782608695652</v>
      </c>
      <c r="AA8" s="10">
        <f t="shared" si="8"/>
        <v>0.4945</v>
      </c>
    </row>
    <row r="9" spans="1:27">
      <c r="A9" s="5" t="s">
        <v>3</v>
      </c>
      <c r="B9" s="2">
        <v>2.4975000000000001</v>
      </c>
      <c r="C9" s="2">
        <v>2.026183333333333</v>
      </c>
      <c r="D9" s="2">
        <v>1.7457</v>
      </c>
      <c r="E9" s="2">
        <v>0.55800000000000005</v>
      </c>
      <c r="F9" s="2">
        <v>0.5256249999999999</v>
      </c>
      <c r="G9" s="2">
        <v>0.47149999999999997</v>
      </c>
      <c r="I9" s="6" t="s">
        <v>14</v>
      </c>
      <c r="J9" s="10">
        <f t="shared" si="6"/>
        <v>2.5110000000000001</v>
      </c>
      <c r="K9" s="10">
        <f t="shared" si="3"/>
        <v>2.0527624999999996</v>
      </c>
      <c r="L9" s="10">
        <f t="shared" si="3"/>
        <v>1.7074</v>
      </c>
      <c r="M9" s="10">
        <f t="shared" si="3"/>
        <v>0.5595</v>
      </c>
      <c r="N9" s="10">
        <f t="shared" si="3"/>
        <v>0.52537499999999993</v>
      </c>
      <c r="O9" s="10">
        <f t="shared" si="3"/>
        <v>0.497</v>
      </c>
      <c r="P9" s="10">
        <f t="shared" si="7"/>
        <v>2.4651999999999998</v>
      </c>
      <c r="Q9" s="10">
        <f t="shared" si="7"/>
        <v>2.0185166666666663</v>
      </c>
      <c r="R9" s="10">
        <f t="shared" si="7"/>
        <v>1.6259999999999999</v>
      </c>
      <c r="S9" s="10">
        <f t="shared" si="7"/>
        <v>0.55600000000000005</v>
      </c>
      <c r="T9" s="10">
        <f t="shared" si="7"/>
        <v>0.52993750000000006</v>
      </c>
      <c r="U9" s="10">
        <f t="shared" si="7"/>
        <v>0.504</v>
      </c>
      <c r="V9" s="10">
        <f t="shared" si="8"/>
        <v>2.516</v>
      </c>
      <c r="W9" s="10">
        <f t="shared" si="8"/>
        <v>1.9835391304347827</v>
      </c>
      <c r="X9" s="10">
        <f t="shared" si="8"/>
        <v>1.6722999999999999</v>
      </c>
      <c r="Y9" s="10">
        <f t="shared" si="8"/>
        <v>0.5575</v>
      </c>
      <c r="Z9" s="10">
        <f t="shared" si="8"/>
        <v>0.53004347826086939</v>
      </c>
      <c r="AA9" s="10">
        <f t="shared" si="8"/>
        <v>0.48899999999999999</v>
      </c>
    </row>
    <row r="10" spans="1:27">
      <c r="A10" s="5" t="s">
        <v>4</v>
      </c>
      <c r="B10" s="2">
        <v>2.5110000000000001</v>
      </c>
      <c r="C10" s="2">
        <v>2.0527624999999996</v>
      </c>
      <c r="D10" s="2">
        <v>1.7074</v>
      </c>
      <c r="E10" s="2">
        <v>0.5595</v>
      </c>
      <c r="F10" s="2">
        <v>0.52537499999999993</v>
      </c>
      <c r="G10" s="2">
        <v>0.497</v>
      </c>
      <c r="I10" s="6" t="s">
        <v>15</v>
      </c>
      <c r="J10" s="10">
        <f t="shared" si="6"/>
        <v>2.6053000000000002</v>
      </c>
      <c r="K10" s="10">
        <f t="shared" si="3"/>
        <v>2.0791458333333335</v>
      </c>
      <c r="L10" s="10">
        <f t="shared" si="3"/>
        <v>1.6950000000000001</v>
      </c>
      <c r="M10" s="10">
        <f t="shared" si="3"/>
        <v>0.56799999999999995</v>
      </c>
      <c r="N10" s="10">
        <f t="shared" si="3"/>
        <v>0.52647916666666672</v>
      </c>
      <c r="O10" s="10">
        <f t="shared" si="3"/>
        <v>0.48899999999999999</v>
      </c>
      <c r="P10" s="10">
        <f t="shared" si="7"/>
        <v>2.4910999999999999</v>
      </c>
      <c r="Q10" s="10">
        <f t="shared" si="7"/>
        <v>2.0192208333333332</v>
      </c>
      <c r="R10" s="10">
        <f t="shared" si="7"/>
        <v>1.6637</v>
      </c>
      <c r="S10" s="10">
        <f t="shared" si="7"/>
        <v>0.56699999999999995</v>
      </c>
      <c r="T10" s="10">
        <f t="shared" si="7"/>
        <v>0.52864583333333337</v>
      </c>
      <c r="U10" s="10">
        <f t="shared" si="7"/>
        <v>0.4985</v>
      </c>
      <c r="V10" s="10">
        <f t="shared" si="8"/>
        <v>2.4615999999999998</v>
      </c>
      <c r="W10" s="10">
        <f t="shared" si="8"/>
        <v>1.989473913043478</v>
      </c>
      <c r="X10" s="10">
        <f t="shared" si="8"/>
        <v>1.6587000000000001</v>
      </c>
      <c r="Y10" s="10">
        <f t="shared" si="8"/>
        <v>0.55900000000000005</v>
      </c>
      <c r="Z10" s="10">
        <f t="shared" si="8"/>
        <v>0.53399999999999992</v>
      </c>
      <c r="AA10" s="10">
        <f t="shared" si="8"/>
        <v>0.50549999999999995</v>
      </c>
    </row>
    <row r="11" spans="1:27">
      <c r="A11" s="5" t="s">
        <v>5</v>
      </c>
      <c r="B11" s="2">
        <v>2.6053000000000002</v>
      </c>
      <c r="C11" s="2">
        <v>2.0791458333333335</v>
      </c>
      <c r="D11" s="2">
        <v>1.6950000000000001</v>
      </c>
      <c r="E11" s="2">
        <v>0.56799999999999995</v>
      </c>
      <c r="F11" s="2">
        <v>0.52647916666666672</v>
      </c>
      <c r="G11" s="2">
        <v>0.48899999999999999</v>
      </c>
    </row>
    <row r="12" spans="1:27">
      <c r="A12" s="4">
        <v>128</v>
      </c>
      <c r="B12" s="2">
        <v>2.5337999999999998</v>
      </c>
      <c r="C12" s="2">
        <v>1.9690048611111115</v>
      </c>
      <c r="D12" s="2">
        <v>1.6236999999999999</v>
      </c>
      <c r="E12" s="2">
        <v>0.56850000000000001</v>
      </c>
      <c r="F12" s="2">
        <v>0.52795833333333364</v>
      </c>
      <c r="G12" s="2">
        <v>0.48599999999999999</v>
      </c>
    </row>
    <row r="13" spans="1:27">
      <c r="A13" s="5" t="s">
        <v>0</v>
      </c>
      <c r="B13" s="2">
        <v>2.2658</v>
      </c>
      <c r="C13" s="2">
        <v>1.9096833333333336</v>
      </c>
      <c r="D13" s="2">
        <v>1.6588000000000001</v>
      </c>
      <c r="E13" s="2">
        <v>0.55449999999999999</v>
      </c>
      <c r="F13" s="2">
        <v>0.5221041666666667</v>
      </c>
      <c r="G13" s="2">
        <v>0.48599999999999999</v>
      </c>
    </row>
    <row r="14" spans="1:27">
      <c r="A14" s="5" t="s">
        <v>1</v>
      </c>
      <c r="B14" s="2">
        <v>2.4001999999999999</v>
      </c>
      <c r="C14" s="2">
        <v>1.9362916666666667</v>
      </c>
      <c r="D14" s="2">
        <v>1.6236999999999999</v>
      </c>
      <c r="E14" s="2">
        <v>0.56299999999999994</v>
      </c>
      <c r="F14" s="2">
        <v>0.52683333333333326</v>
      </c>
      <c r="G14" s="2">
        <v>0.4955</v>
      </c>
    </row>
    <row r="15" spans="1:27">
      <c r="A15" s="5" t="s">
        <v>2</v>
      </c>
      <c r="B15" s="2">
        <v>2.3662000000000001</v>
      </c>
      <c r="C15" s="2">
        <v>1.9560791666666668</v>
      </c>
      <c r="D15" s="2">
        <v>1.6406000000000001</v>
      </c>
      <c r="E15" s="2">
        <v>0.56850000000000001</v>
      </c>
      <c r="F15" s="2">
        <v>0.53045833333333325</v>
      </c>
      <c r="G15" s="2">
        <v>0.50800000000000001</v>
      </c>
    </row>
    <row r="16" spans="1:27">
      <c r="A16" s="5" t="s">
        <v>3</v>
      </c>
      <c r="B16" s="2">
        <v>2.5337999999999998</v>
      </c>
      <c r="C16" s="2">
        <v>1.9742374999999994</v>
      </c>
      <c r="D16" s="2">
        <v>1.6688000000000001</v>
      </c>
      <c r="E16" s="2">
        <v>0.55400000000000005</v>
      </c>
      <c r="F16" s="2">
        <v>0.52977083333333341</v>
      </c>
      <c r="G16" s="2">
        <v>0.497</v>
      </c>
    </row>
    <row r="17" spans="1:7">
      <c r="A17" s="5" t="s">
        <v>4</v>
      </c>
      <c r="B17" s="2">
        <v>2.4651999999999998</v>
      </c>
      <c r="C17" s="2">
        <v>2.0185166666666663</v>
      </c>
      <c r="D17" s="2">
        <v>1.6259999999999999</v>
      </c>
      <c r="E17" s="2">
        <v>0.55600000000000005</v>
      </c>
      <c r="F17" s="2">
        <v>0.52993750000000006</v>
      </c>
      <c r="G17" s="2">
        <v>0.504</v>
      </c>
    </row>
    <row r="18" spans="1:7">
      <c r="A18" s="5" t="s">
        <v>5</v>
      </c>
      <c r="B18" s="2">
        <v>2.4910999999999999</v>
      </c>
      <c r="C18" s="2">
        <v>2.0192208333333332</v>
      </c>
      <c r="D18" s="2">
        <v>1.6637</v>
      </c>
      <c r="E18" s="2">
        <v>0.56699999999999995</v>
      </c>
      <c r="F18" s="2">
        <v>0.52864583333333337</v>
      </c>
      <c r="G18" s="2">
        <v>0.4985</v>
      </c>
    </row>
    <row r="19" spans="1:7">
      <c r="A19" s="4">
        <v>256</v>
      </c>
      <c r="B19" s="2">
        <v>2.516</v>
      </c>
      <c r="C19" s="2">
        <v>1.9342637681159416</v>
      </c>
      <c r="D19" s="2">
        <v>1.6083000000000001</v>
      </c>
      <c r="E19" s="2">
        <v>0.56699999999999995</v>
      </c>
      <c r="F19" s="2">
        <v>0.52983695652173923</v>
      </c>
      <c r="G19" s="2">
        <v>0.48899999999999999</v>
      </c>
    </row>
    <row r="20" spans="1:7">
      <c r="A20" s="5" t="s">
        <v>0</v>
      </c>
      <c r="B20" s="2">
        <v>2.3136000000000001</v>
      </c>
      <c r="C20" s="2">
        <v>1.8970086956521746</v>
      </c>
      <c r="D20" s="2">
        <v>1.663</v>
      </c>
      <c r="E20" s="2">
        <v>0.54749999999999999</v>
      </c>
      <c r="F20" s="2">
        <v>0.52156521739130424</v>
      </c>
      <c r="G20" s="2">
        <v>0.496</v>
      </c>
    </row>
    <row r="21" spans="1:7">
      <c r="A21" s="5" t="s">
        <v>1</v>
      </c>
      <c r="B21" s="2">
        <v>2.3170999999999999</v>
      </c>
      <c r="C21" s="2">
        <v>1.8854391304347828</v>
      </c>
      <c r="D21" s="2">
        <v>1.6862999999999999</v>
      </c>
      <c r="E21" s="2">
        <v>0.56699999999999995</v>
      </c>
      <c r="F21" s="2">
        <v>0.53080434782608699</v>
      </c>
      <c r="G21" s="2">
        <v>0.50649999999999995</v>
      </c>
    </row>
    <row r="22" spans="1:7">
      <c r="A22" s="5" t="s">
        <v>2</v>
      </c>
      <c r="B22" s="2">
        <v>2.3315999999999999</v>
      </c>
      <c r="C22" s="2">
        <v>1.9023086956521744</v>
      </c>
      <c r="D22" s="2">
        <v>1.6083000000000001</v>
      </c>
      <c r="E22" s="2">
        <v>0.55700000000000005</v>
      </c>
      <c r="F22" s="2">
        <v>0.53326086956521734</v>
      </c>
      <c r="G22" s="2">
        <v>0.505</v>
      </c>
    </row>
    <row r="23" spans="1:7">
      <c r="A23" s="5" t="s">
        <v>3</v>
      </c>
      <c r="B23" s="2">
        <v>2.4964</v>
      </c>
      <c r="C23" s="2">
        <v>1.947813043478261</v>
      </c>
      <c r="D23" s="2">
        <v>1.6809000000000001</v>
      </c>
      <c r="E23" s="2">
        <v>0.56000000000000005</v>
      </c>
      <c r="F23" s="2">
        <v>0.52934782608695652</v>
      </c>
      <c r="G23" s="2">
        <v>0.4945</v>
      </c>
    </row>
    <row r="24" spans="1:7">
      <c r="A24" s="5" t="s">
        <v>4</v>
      </c>
      <c r="B24" s="2">
        <v>2.516</v>
      </c>
      <c r="C24" s="2">
        <v>1.9835391304347827</v>
      </c>
      <c r="D24" s="2">
        <v>1.6722999999999999</v>
      </c>
      <c r="E24" s="2">
        <v>0.5575</v>
      </c>
      <c r="F24" s="2">
        <v>0.53004347826086939</v>
      </c>
      <c r="G24" s="2">
        <v>0.48899999999999999</v>
      </c>
    </row>
    <row r="25" spans="1:7">
      <c r="A25" s="5" t="s">
        <v>5</v>
      </c>
      <c r="B25" s="2">
        <v>2.4615999999999998</v>
      </c>
      <c r="C25" s="2">
        <v>1.989473913043478</v>
      </c>
      <c r="D25" s="2">
        <v>1.6587000000000001</v>
      </c>
      <c r="E25" s="2">
        <v>0.55900000000000005</v>
      </c>
      <c r="F25" s="2">
        <v>0.53399999999999992</v>
      </c>
      <c r="G25" s="2">
        <v>0.50549999999999995</v>
      </c>
    </row>
    <row r="26" spans="1:7">
      <c r="A26" s="4" t="s">
        <v>8</v>
      </c>
      <c r="B26" s="2">
        <v>2.6053000000000002</v>
      </c>
      <c r="C26" s="2">
        <v>1.9738002347417833</v>
      </c>
      <c r="D26" s="2">
        <v>1.6083000000000001</v>
      </c>
      <c r="E26" s="2">
        <v>0.56850000000000001</v>
      </c>
      <c r="F26" s="2">
        <v>0.52677816901408459</v>
      </c>
      <c r="G26" s="2">
        <v>0.47149999999999997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A26"/>
  <sheetViews>
    <sheetView workbookViewId="0">
      <selection activeCell="A3" sqref="A3"/>
    </sheetView>
  </sheetViews>
  <sheetFormatPr baseColWidth="10" defaultRowHeight="15" x14ac:dyDescent="0"/>
  <cols>
    <col min="1" max="1" width="13" customWidth="1"/>
    <col min="2" max="2" width="8.6640625" bestFit="1" customWidth="1"/>
    <col min="3" max="3" width="12.1640625" bestFit="1" customWidth="1"/>
    <col min="4" max="4" width="8.33203125" bestFit="1" customWidth="1"/>
    <col min="5" max="5" width="10.1640625" bestFit="1" customWidth="1"/>
    <col min="6" max="6" width="12.1640625" customWidth="1"/>
    <col min="7" max="7" width="7.83203125" customWidth="1"/>
    <col min="8" max="8" width="15.6640625" bestFit="1" customWidth="1"/>
    <col min="10" max="15" width="8.83203125" customWidth="1"/>
    <col min="16" max="21" width="9.33203125" customWidth="1"/>
  </cols>
  <sheetData>
    <row r="3" spans="1:27">
      <c r="B3" s="3" t="s">
        <v>9</v>
      </c>
    </row>
    <row r="4" spans="1:27" ht="30">
      <c r="A4" s="3" t="s">
        <v>7</v>
      </c>
      <c r="B4" t="s">
        <v>19</v>
      </c>
      <c r="C4" t="s">
        <v>18</v>
      </c>
      <c r="D4" t="s">
        <v>20</v>
      </c>
      <c r="E4" t="s">
        <v>541</v>
      </c>
      <c r="F4" t="s">
        <v>21</v>
      </c>
      <c r="G4" t="s">
        <v>22</v>
      </c>
      <c r="I4" s="7" t="s">
        <v>6</v>
      </c>
      <c r="J4" s="8" t="str">
        <f>CONCATENATE($A$5, " - ", LOWER(B4))</f>
        <v>64 - max loss</v>
      </c>
      <c r="K4" s="8" t="str">
        <f t="shared" ref="K4:O4" si="0">CONCATENATE($A$5, " - ", LOWER(C4))</f>
        <v>64 - avg loss</v>
      </c>
      <c r="L4" s="8" t="str">
        <f t="shared" si="0"/>
        <v>64 - min loss</v>
      </c>
      <c r="M4" s="8" t="str">
        <f t="shared" si="0"/>
        <v>64 - max of acc</v>
      </c>
      <c r="N4" s="8" t="str">
        <f t="shared" si="0"/>
        <v>64 - avg acc</v>
      </c>
      <c r="O4" s="8" t="str">
        <f t="shared" si="0"/>
        <v>64 - min acc</v>
      </c>
      <c r="P4" s="8" t="str">
        <f>CONCATENATE($A$12, " - ", LOWER(B4))</f>
        <v>128 - max loss</v>
      </c>
      <c r="Q4" s="8" t="str">
        <f t="shared" ref="Q4:U4" si="1">CONCATENATE($A$12, " - ", LOWER(C4))</f>
        <v>128 - avg loss</v>
      </c>
      <c r="R4" s="8" t="str">
        <f t="shared" si="1"/>
        <v>128 - min loss</v>
      </c>
      <c r="S4" s="8" t="str">
        <f t="shared" si="1"/>
        <v>128 - max of acc</v>
      </c>
      <c r="T4" s="8" t="str">
        <f t="shared" si="1"/>
        <v>128 - avg acc</v>
      </c>
      <c r="U4" s="8" t="str">
        <f t="shared" si="1"/>
        <v>128 - min acc</v>
      </c>
      <c r="V4" s="8" t="str">
        <f>CONCATENATE($A$19, " - ", LOWER(B4))</f>
        <v>256 - max loss</v>
      </c>
      <c r="W4" s="8" t="str">
        <f t="shared" ref="W4:AA4" si="2">CONCATENATE($A$19, " - ", LOWER(C4))</f>
        <v>256 - avg loss</v>
      </c>
      <c r="X4" s="8" t="str">
        <f t="shared" si="2"/>
        <v>256 - min loss</v>
      </c>
      <c r="Y4" s="8" t="str">
        <f t="shared" si="2"/>
        <v>256 - max of acc</v>
      </c>
      <c r="Z4" s="8" t="str">
        <f t="shared" si="2"/>
        <v>256 - avg acc</v>
      </c>
      <c r="AA4" s="8" t="str">
        <f t="shared" si="2"/>
        <v>256 - min acc</v>
      </c>
    </row>
    <row r="5" spans="1:27">
      <c r="A5" s="4">
        <v>64</v>
      </c>
      <c r="B5" s="2">
        <v>2.4268999999999998</v>
      </c>
      <c r="C5" s="2">
        <v>1.9831541666666668</v>
      </c>
      <c r="D5" s="2">
        <v>1.6559999999999999</v>
      </c>
      <c r="E5" s="2">
        <v>0.56299999999999994</v>
      </c>
      <c r="F5" s="2">
        <v>0.5281180555555558</v>
      </c>
      <c r="G5" s="2">
        <v>0.49199999999999999</v>
      </c>
      <c r="I5" s="6" t="s">
        <v>10</v>
      </c>
      <c r="J5" s="10">
        <f>B6</f>
        <v>2.1854</v>
      </c>
      <c r="K5" s="10">
        <f t="shared" ref="K5:O10" si="3">C6</f>
        <v>1.9157500000000001</v>
      </c>
      <c r="L5" s="10">
        <f t="shared" si="3"/>
        <v>1.7000999999999999</v>
      </c>
      <c r="M5" s="10">
        <f t="shared" si="3"/>
        <v>0.54200000000000004</v>
      </c>
      <c r="N5" s="10">
        <f t="shared" si="3"/>
        <v>0.52324999999999999</v>
      </c>
      <c r="O5" s="10">
        <f t="shared" si="3"/>
        <v>0.50749999999999995</v>
      </c>
      <c r="P5" s="10">
        <f>B13</f>
        <v>2.2473999999999998</v>
      </c>
      <c r="Q5" s="10">
        <f t="shared" ref="Q5:U5" si="4">C13</f>
        <v>1.8532250000000001</v>
      </c>
      <c r="R5" s="10">
        <f t="shared" si="4"/>
        <v>1.6055999999999999</v>
      </c>
      <c r="S5" s="10">
        <f t="shared" si="4"/>
        <v>0.55900000000000005</v>
      </c>
      <c r="T5" s="10">
        <f t="shared" si="4"/>
        <v>0.53929166666666661</v>
      </c>
      <c r="U5" s="10">
        <f t="shared" si="4"/>
        <v>0.50800000000000001</v>
      </c>
      <c r="V5" s="10">
        <f>B20</f>
        <v>2.0981000000000001</v>
      </c>
      <c r="W5" s="10">
        <f t="shared" ref="W5:AA5" si="5">C20</f>
        <v>1.8446499999999997</v>
      </c>
      <c r="X5" s="10">
        <f t="shared" si="5"/>
        <v>1.6545000000000001</v>
      </c>
      <c r="Y5" s="10">
        <f t="shared" si="5"/>
        <v>0.55149999999999999</v>
      </c>
      <c r="Z5" s="10">
        <f t="shared" si="5"/>
        <v>0.54158333333333319</v>
      </c>
      <c r="AA5" s="10">
        <f t="shared" si="5"/>
        <v>0.51849999999999996</v>
      </c>
    </row>
    <row r="6" spans="1:27">
      <c r="A6" s="5" t="s">
        <v>0</v>
      </c>
      <c r="B6" s="2">
        <v>2.1854</v>
      </c>
      <c r="C6" s="2">
        <v>1.9157500000000001</v>
      </c>
      <c r="D6" s="2">
        <v>1.7000999999999999</v>
      </c>
      <c r="E6" s="2">
        <v>0.54200000000000004</v>
      </c>
      <c r="F6" s="2">
        <v>0.52324999999999999</v>
      </c>
      <c r="G6" s="2">
        <v>0.50749999999999995</v>
      </c>
      <c r="I6" s="6" t="s">
        <v>11</v>
      </c>
      <c r="J6" s="10">
        <f t="shared" ref="J6:J10" si="6">B7</f>
        <v>2.4148000000000001</v>
      </c>
      <c r="K6" s="10">
        <f t="shared" si="3"/>
        <v>1.9609916666666669</v>
      </c>
      <c r="L6" s="10">
        <f t="shared" si="3"/>
        <v>1.6947000000000001</v>
      </c>
      <c r="M6" s="10">
        <f t="shared" si="3"/>
        <v>0.54849999999999999</v>
      </c>
      <c r="N6" s="10">
        <f t="shared" si="3"/>
        <v>0.52316666666666667</v>
      </c>
      <c r="O6" s="10">
        <f t="shared" si="3"/>
        <v>0.4995</v>
      </c>
      <c r="P6" s="10">
        <f t="shared" ref="P6:U10" si="7">B14</f>
        <v>2.2966000000000002</v>
      </c>
      <c r="Q6" s="10">
        <f t="shared" si="7"/>
        <v>1.9099416666666666</v>
      </c>
      <c r="R6" s="10">
        <f t="shared" si="7"/>
        <v>1.6620999999999999</v>
      </c>
      <c r="S6" s="10">
        <f t="shared" si="7"/>
        <v>0.56000000000000005</v>
      </c>
      <c r="T6" s="10">
        <f t="shared" si="7"/>
        <v>0.53604166666666664</v>
      </c>
      <c r="U6" s="10">
        <f t="shared" si="7"/>
        <v>0.496</v>
      </c>
      <c r="V6" s="10">
        <f t="shared" ref="V6:AA10" si="8">B21</f>
        <v>2.2235999999999998</v>
      </c>
      <c r="W6" s="10">
        <f t="shared" si="8"/>
        <v>1.8587</v>
      </c>
      <c r="X6" s="10">
        <f t="shared" si="8"/>
        <v>1.6671</v>
      </c>
      <c r="Y6" s="10">
        <f t="shared" si="8"/>
        <v>0.56599999999999995</v>
      </c>
      <c r="Z6" s="10">
        <f t="shared" si="8"/>
        <v>0.54279166666666678</v>
      </c>
      <c r="AA6" s="10">
        <f t="shared" si="8"/>
        <v>0.52200000000000002</v>
      </c>
    </row>
    <row r="7" spans="1:27">
      <c r="A7" s="5" t="s">
        <v>1</v>
      </c>
      <c r="B7" s="2">
        <v>2.4148000000000001</v>
      </c>
      <c r="C7" s="2">
        <v>1.9609916666666669</v>
      </c>
      <c r="D7" s="2">
        <v>1.6947000000000001</v>
      </c>
      <c r="E7" s="2">
        <v>0.54849999999999999</v>
      </c>
      <c r="F7" s="2">
        <v>0.52316666666666667</v>
      </c>
      <c r="G7" s="2">
        <v>0.4995</v>
      </c>
      <c r="I7" s="6" t="s">
        <v>12</v>
      </c>
      <c r="J7" s="10">
        <f t="shared" si="6"/>
        <v>2.3062999999999998</v>
      </c>
      <c r="K7" s="10">
        <f t="shared" si="3"/>
        <v>1.9703583333333334</v>
      </c>
      <c r="L7" s="10">
        <f t="shared" si="3"/>
        <v>1.6950000000000001</v>
      </c>
      <c r="M7" s="10">
        <f t="shared" si="3"/>
        <v>0.55349999999999999</v>
      </c>
      <c r="N7" s="10">
        <f t="shared" si="3"/>
        <v>0.52908333333333324</v>
      </c>
      <c r="O7" s="10">
        <f t="shared" si="3"/>
        <v>0.50549999999999995</v>
      </c>
      <c r="P7" s="10">
        <f t="shared" si="7"/>
        <v>2.4049999999999998</v>
      </c>
      <c r="Q7" s="10">
        <f t="shared" si="7"/>
        <v>1.9013083333333334</v>
      </c>
      <c r="R7" s="10">
        <f t="shared" si="7"/>
        <v>1.6292</v>
      </c>
      <c r="S7" s="10">
        <f t="shared" si="7"/>
        <v>0.5615</v>
      </c>
      <c r="T7" s="10">
        <f t="shared" si="7"/>
        <v>0.54204166666666664</v>
      </c>
      <c r="U7" s="10">
        <f t="shared" si="7"/>
        <v>0.4945</v>
      </c>
      <c r="V7" s="10">
        <f t="shared" si="8"/>
        <v>2.1554000000000002</v>
      </c>
      <c r="W7" s="10">
        <f t="shared" si="8"/>
        <v>1.8934</v>
      </c>
      <c r="X7" s="10">
        <f t="shared" si="8"/>
        <v>1.6281000000000001</v>
      </c>
      <c r="Y7" s="10">
        <f t="shared" si="8"/>
        <v>0.55900000000000005</v>
      </c>
      <c r="Z7" s="10">
        <f t="shared" si="8"/>
        <v>0.53912499999999997</v>
      </c>
      <c r="AA7" s="10">
        <f t="shared" si="8"/>
        <v>0.51949999999999996</v>
      </c>
    </row>
    <row r="8" spans="1:27">
      <c r="A8" s="5" t="s">
        <v>2</v>
      </c>
      <c r="B8" s="2">
        <v>2.3062999999999998</v>
      </c>
      <c r="C8" s="2">
        <v>1.9703583333333334</v>
      </c>
      <c r="D8" s="2">
        <v>1.6950000000000001</v>
      </c>
      <c r="E8" s="2">
        <v>0.55349999999999999</v>
      </c>
      <c r="F8" s="2">
        <v>0.52908333333333324</v>
      </c>
      <c r="G8" s="2">
        <v>0.50549999999999995</v>
      </c>
      <c r="I8" s="6" t="s">
        <v>13</v>
      </c>
      <c r="J8" s="10">
        <f t="shared" si="6"/>
        <v>2.3706999999999998</v>
      </c>
      <c r="K8" s="10">
        <f t="shared" si="3"/>
        <v>1.9961416666666667</v>
      </c>
      <c r="L8" s="10">
        <f t="shared" si="3"/>
        <v>1.6837</v>
      </c>
      <c r="M8" s="10">
        <f t="shared" si="3"/>
        <v>0.56100000000000005</v>
      </c>
      <c r="N8" s="10">
        <f t="shared" si="3"/>
        <v>0.53120833333333328</v>
      </c>
      <c r="O8" s="10">
        <f t="shared" si="3"/>
        <v>0.501</v>
      </c>
      <c r="P8" s="10">
        <f t="shared" si="7"/>
        <v>2.3170999999999999</v>
      </c>
      <c r="Q8" s="10">
        <f t="shared" si="7"/>
        <v>1.9297333333333333</v>
      </c>
      <c r="R8" s="10">
        <f t="shared" si="7"/>
        <v>1.6264000000000001</v>
      </c>
      <c r="S8" s="10">
        <f t="shared" si="7"/>
        <v>0.55900000000000005</v>
      </c>
      <c r="T8" s="10">
        <f t="shared" si="7"/>
        <v>0.53974999999999984</v>
      </c>
      <c r="U8" s="10">
        <f t="shared" si="7"/>
        <v>0.51600000000000001</v>
      </c>
      <c r="V8" s="10">
        <f t="shared" si="8"/>
        <v>2.1913</v>
      </c>
      <c r="W8" s="10">
        <f t="shared" si="8"/>
        <v>1.9052499999999999</v>
      </c>
      <c r="X8" s="10">
        <f t="shared" si="8"/>
        <v>1.5972999999999999</v>
      </c>
      <c r="Y8" s="10">
        <f t="shared" si="8"/>
        <v>0.57350000000000001</v>
      </c>
      <c r="Z8" s="10">
        <f t="shared" si="8"/>
        <v>0.54287499999999989</v>
      </c>
      <c r="AA8" s="10">
        <f t="shared" si="8"/>
        <v>0.51549999999999996</v>
      </c>
    </row>
    <row r="9" spans="1:27">
      <c r="A9" s="5" t="s">
        <v>3</v>
      </c>
      <c r="B9" s="2">
        <v>2.3706999999999998</v>
      </c>
      <c r="C9" s="2">
        <v>1.9961416666666667</v>
      </c>
      <c r="D9" s="2">
        <v>1.6837</v>
      </c>
      <c r="E9" s="2">
        <v>0.56100000000000005</v>
      </c>
      <c r="F9" s="2">
        <v>0.53120833333333328</v>
      </c>
      <c r="G9" s="2">
        <v>0.501</v>
      </c>
      <c r="I9" s="6" t="s">
        <v>14</v>
      </c>
      <c r="J9" s="10">
        <f t="shared" si="6"/>
        <v>2.4268999999999998</v>
      </c>
      <c r="K9" s="10">
        <f t="shared" si="3"/>
        <v>2.0138833333333328</v>
      </c>
      <c r="L9" s="10">
        <f t="shared" si="3"/>
        <v>1.6559999999999999</v>
      </c>
      <c r="M9" s="10">
        <f t="shared" si="3"/>
        <v>0.55900000000000005</v>
      </c>
      <c r="N9" s="10">
        <f t="shared" si="3"/>
        <v>0.53100000000000003</v>
      </c>
      <c r="O9" s="10">
        <f t="shared" si="3"/>
        <v>0.49199999999999999</v>
      </c>
      <c r="P9" s="10">
        <f t="shared" si="7"/>
        <v>2.3990999999999998</v>
      </c>
      <c r="Q9" s="10">
        <f t="shared" si="7"/>
        <v>1.9763666666666664</v>
      </c>
      <c r="R9" s="10">
        <f t="shared" si="7"/>
        <v>1.6738999999999999</v>
      </c>
      <c r="S9" s="10">
        <f t="shared" si="7"/>
        <v>0.55200000000000005</v>
      </c>
      <c r="T9" s="10">
        <f t="shared" si="7"/>
        <v>0.53549999999999998</v>
      </c>
      <c r="U9" s="10">
        <f t="shared" si="7"/>
        <v>0.50349999999999995</v>
      </c>
      <c r="V9" s="10">
        <f t="shared" si="8"/>
        <v>2.2364000000000002</v>
      </c>
      <c r="W9" s="10">
        <f t="shared" si="8"/>
        <v>1.9354333333333333</v>
      </c>
      <c r="X9" s="10">
        <f t="shared" si="8"/>
        <v>1.639</v>
      </c>
      <c r="Y9" s="10">
        <f t="shared" si="8"/>
        <v>0.5605</v>
      </c>
      <c r="Z9" s="10">
        <f t="shared" si="8"/>
        <v>0.54212499999999997</v>
      </c>
      <c r="AA9" s="10">
        <f t="shared" si="8"/>
        <v>0.51849999999999996</v>
      </c>
    </row>
    <row r="10" spans="1:27">
      <c r="A10" s="5" t="s">
        <v>4</v>
      </c>
      <c r="B10" s="2">
        <v>2.4268999999999998</v>
      </c>
      <c r="C10" s="2">
        <v>2.0138833333333328</v>
      </c>
      <c r="D10" s="2">
        <v>1.6559999999999999</v>
      </c>
      <c r="E10" s="2">
        <v>0.55900000000000005</v>
      </c>
      <c r="F10" s="2">
        <v>0.53100000000000003</v>
      </c>
      <c r="G10" s="2">
        <v>0.49199999999999999</v>
      </c>
      <c r="I10" s="6" t="s">
        <v>15</v>
      </c>
      <c r="J10" s="10">
        <f t="shared" si="6"/>
        <v>2.42</v>
      </c>
      <c r="K10" s="10">
        <f t="shared" si="3"/>
        <v>2.0417999999999998</v>
      </c>
      <c r="L10" s="10">
        <f t="shared" si="3"/>
        <v>1.6727000000000001</v>
      </c>
      <c r="M10" s="10">
        <f t="shared" si="3"/>
        <v>0.56299999999999994</v>
      </c>
      <c r="N10" s="10">
        <f t="shared" si="3"/>
        <v>0.53100000000000003</v>
      </c>
      <c r="O10" s="10">
        <f t="shared" si="3"/>
        <v>0.499</v>
      </c>
      <c r="P10" s="10">
        <f t="shared" si="7"/>
        <v>2.4036</v>
      </c>
      <c r="Q10" s="10">
        <f t="shared" si="7"/>
        <v>1.9872750000000001</v>
      </c>
      <c r="R10" s="10">
        <f t="shared" si="7"/>
        <v>1.6247</v>
      </c>
      <c r="S10" s="10">
        <f t="shared" si="7"/>
        <v>0.55500000000000005</v>
      </c>
      <c r="T10" s="10">
        <f t="shared" si="7"/>
        <v>0.53912499999999997</v>
      </c>
      <c r="U10" s="10">
        <f t="shared" si="7"/>
        <v>0.51449999999999996</v>
      </c>
      <c r="V10" s="10">
        <f t="shared" si="8"/>
        <v>2.3530000000000002</v>
      </c>
      <c r="W10" s="10">
        <f t="shared" si="8"/>
        <v>1.9949833333333331</v>
      </c>
      <c r="X10" s="10">
        <f t="shared" si="8"/>
        <v>1.6245000000000001</v>
      </c>
      <c r="Y10" s="10">
        <f t="shared" si="8"/>
        <v>0.56699999999999995</v>
      </c>
      <c r="Z10" s="10">
        <f t="shared" si="8"/>
        <v>0.53970833333333335</v>
      </c>
      <c r="AA10" s="10">
        <f t="shared" si="8"/>
        <v>0.51149999999999995</v>
      </c>
    </row>
    <row r="11" spans="1:27">
      <c r="A11" s="5" t="s">
        <v>5</v>
      </c>
      <c r="B11" s="2">
        <v>2.42</v>
      </c>
      <c r="C11" s="2">
        <v>2.0417999999999998</v>
      </c>
      <c r="D11" s="2">
        <v>1.6727000000000001</v>
      </c>
      <c r="E11" s="2">
        <v>0.56299999999999994</v>
      </c>
      <c r="F11" s="2">
        <v>0.53100000000000003</v>
      </c>
      <c r="G11" s="2">
        <v>0.499</v>
      </c>
    </row>
    <row r="12" spans="1:27">
      <c r="A12" s="4">
        <v>128</v>
      </c>
      <c r="B12" s="2">
        <v>2.4049999999999998</v>
      </c>
      <c r="C12" s="2">
        <v>1.9263083333333333</v>
      </c>
      <c r="D12" s="2">
        <v>1.6055999999999999</v>
      </c>
      <c r="E12" s="2">
        <v>0.5615</v>
      </c>
      <c r="F12" s="2">
        <v>0.53862500000000002</v>
      </c>
      <c r="G12" s="2">
        <v>0.4945</v>
      </c>
    </row>
    <row r="13" spans="1:27">
      <c r="A13" s="5" t="s">
        <v>0</v>
      </c>
      <c r="B13" s="2">
        <v>2.2473999999999998</v>
      </c>
      <c r="C13" s="2">
        <v>1.8532250000000001</v>
      </c>
      <c r="D13" s="2">
        <v>1.6055999999999999</v>
      </c>
      <c r="E13" s="2">
        <v>0.55900000000000005</v>
      </c>
      <c r="F13" s="2">
        <v>0.53929166666666661</v>
      </c>
      <c r="G13" s="2">
        <v>0.50800000000000001</v>
      </c>
    </row>
    <row r="14" spans="1:27">
      <c r="A14" s="5" t="s">
        <v>1</v>
      </c>
      <c r="B14" s="2">
        <v>2.2966000000000002</v>
      </c>
      <c r="C14" s="2">
        <v>1.9099416666666666</v>
      </c>
      <c r="D14" s="2">
        <v>1.6620999999999999</v>
      </c>
      <c r="E14" s="2">
        <v>0.56000000000000005</v>
      </c>
      <c r="F14" s="2">
        <v>0.53604166666666664</v>
      </c>
      <c r="G14" s="2">
        <v>0.496</v>
      </c>
    </row>
    <row r="15" spans="1:27">
      <c r="A15" s="5" t="s">
        <v>2</v>
      </c>
      <c r="B15" s="2">
        <v>2.4049999999999998</v>
      </c>
      <c r="C15" s="2">
        <v>1.9013083333333334</v>
      </c>
      <c r="D15" s="2">
        <v>1.6292</v>
      </c>
      <c r="E15" s="2">
        <v>0.5615</v>
      </c>
      <c r="F15" s="2">
        <v>0.54204166666666664</v>
      </c>
      <c r="G15" s="2">
        <v>0.4945</v>
      </c>
    </row>
    <row r="16" spans="1:27">
      <c r="A16" s="5" t="s">
        <v>3</v>
      </c>
      <c r="B16" s="2">
        <v>2.3170999999999999</v>
      </c>
      <c r="C16" s="2">
        <v>1.9297333333333333</v>
      </c>
      <c r="D16" s="2">
        <v>1.6264000000000001</v>
      </c>
      <c r="E16" s="2">
        <v>0.55900000000000005</v>
      </c>
      <c r="F16" s="2">
        <v>0.53974999999999984</v>
      </c>
      <c r="G16" s="2">
        <v>0.51600000000000001</v>
      </c>
    </row>
    <row r="17" spans="1:7">
      <c r="A17" s="5" t="s">
        <v>4</v>
      </c>
      <c r="B17" s="2">
        <v>2.3990999999999998</v>
      </c>
      <c r="C17" s="2">
        <v>1.9763666666666664</v>
      </c>
      <c r="D17" s="2">
        <v>1.6738999999999999</v>
      </c>
      <c r="E17" s="2">
        <v>0.55200000000000005</v>
      </c>
      <c r="F17" s="2">
        <v>0.53549999999999998</v>
      </c>
      <c r="G17" s="2">
        <v>0.50349999999999995</v>
      </c>
    </row>
    <row r="18" spans="1:7">
      <c r="A18" s="5" t="s">
        <v>5</v>
      </c>
      <c r="B18" s="2">
        <v>2.4036</v>
      </c>
      <c r="C18" s="2">
        <v>1.9872750000000001</v>
      </c>
      <c r="D18" s="2">
        <v>1.6247</v>
      </c>
      <c r="E18" s="2">
        <v>0.55500000000000005</v>
      </c>
      <c r="F18" s="2">
        <v>0.53912499999999997</v>
      </c>
      <c r="G18" s="2">
        <v>0.51449999999999996</v>
      </c>
    </row>
    <row r="19" spans="1:7">
      <c r="A19" s="4">
        <v>256</v>
      </c>
      <c r="B19" s="2">
        <v>2.3530000000000002</v>
      </c>
      <c r="C19" s="2">
        <v>1.9054027777777773</v>
      </c>
      <c r="D19" s="2">
        <v>1.5972999999999999</v>
      </c>
      <c r="E19" s="2">
        <v>0.57350000000000001</v>
      </c>
      <c r="F19" s="2">
        <v>0.54136805555555556</v>
      </c>
      <c r="G19" s="2">
        <v>0.51149999999999995</v>
      </c>
    </row>
    <row r="20" spans="1:7">
      <c r="A20" s="5" t="s">
        <v>0</v>
      </c>
      <c r="B20" s="2">
        <v>2.0981000000000001</v>
      </c>
      <c r="C20" s="2">
        <v>1.8446499999999997</v>
      </c>
      <c r="D20" s="2">
        <v>1.6545000000000001</v>
      </c>
      <c r="E20" s="2">
        <v>0.55149999999999999</v>
      </c>
      <c r="F20" s="2">
        <v>0.54158333333333319</v>
      </c>
      <c r="G20" s="2">
        <v>0.51849999999999996</v>
      </c>
    </row>
    <row r="21" spans="1:7">
      <c r="A21" s="5" t="s">
        <v>1</v>
      </c>
      <c r="B21" s="2">
        <v>2.2235999999999998</v>
      </c>
      <c r="C21" s="2">
        <v>1.8587</v>
      </c>
      <c r="D21" s="2">
        <v>1.6671</v>
      </c>
      <c r="E21" s="2">
        <v>0.56599999999999995</v>
      </c>
      <c r="F21" s="2">
        <v>0.54279166666666678</v>
      </c>
      <c r="G21" s="2">
        <v>0.52200000000000002</v>
      </c>
    </row>
    <row r="22" spans="1:7">
      <c r="A22" s="5" t="s">
        <v>2</v>
      </c>
      <c r="B22" s="2">
        <v>2.1554000000000002</v>
      </c>
      <c r="C22" s="2">
        <v>1.8934</v>
      </c>
      <c r="D22" s="2">
        <v>1.6281000000000001</v>
      </c>
      <c r="E22" s="2">
        <v>0.55900000000000005</v>
      </c>
      <c r="F22" s="2">
        <v>0.53912499999999997</v>
      </c>
      <c r="G22" s="2">
        <v>0.51949999999999996</v>
      </c>
    </row>
    <row r="23" spans="1:7">
      <c r="A23" s="5" t="s">
        <v>3</v>
      </c>
      <c r="B23" s="2">
        <v>2.1913</v>
      </c>
      <c r="C23" s="2">
        <v>1.9052499999999999</v>
      </c>
      <c r="D23" s="2">
        <v>1.5972999999999999</v>
      </c>
      <c r="E23" s="2">
        <v>0.57350000000000001</v>
      </c>
      <c r="F23" s="2">
        <v>0.54287499999999989</v>
      </c>
      <c r="G23" s="2">
        <v>0.51549999999999996</v>
      </c>
    </row>
    <row r="24" spans="1:7">
      <c r="A24" s="5" t="s">
        <v>4</v>
      </c>
      <c r="B24" s="2">
        <v>2.2364000000000002</v>
      </c>
      <c r="C24" s="2">
        <v>1.9354333333333333</v>
      </c>
      <c r="D24" s="2">
        <v>1.639</v>
      </c>
      <c r="E24" s="2">
        <v>0.5605</v>
      </c>
      <c r="F24" s="2">
        <v>0.54212499999999997</v>
      </c>
      <c r="G24" s="2">
        <v>0.51849999999999996</v>
      </c>
    </row>
    <row r="25" spans="1:7">
      <c r="A25" s="5" t="s">
        <v>5</v>
      </c>
      <c r="B25" s="2">
        <v>2.3530000000000002</v>
      </c>
      <c r="C25" s="2">
        <v>1.9949833333333331</v>
      </c>
      <c r="D25" s="2">
        <v>1.6245000000000001</v>
      </c>
      <c r="E25" s="2">
        <v>0.56699999999999995</v>
      </c>
      <c r="F25" s="2">
        <v>0.53970833333333335</v>
      </c>
      <c r="G25" s="2">
        <v>0.51149999999999995</v>
      </c>
    </row>
    <row r="26" spans="1:7">
      <c r="A26" s="4" t="s">
        <v>8</v>
      </c>
      <c r="B26" s="2">
        <v>2.4268999999999998</v>
      </c>
      <c r="C26" s="2">
        <v>1.9382884259259272</v>
      </c>
      <c r="D26" s="2">
        <v>1.5972999999999999</v>
      </c>
      <c r="E26" s="2">
        <v>0.57350000000000001</v>
      </c>
      <c r="F26" s="2">
        <v>0.53603703703703709</v>
      </c>
      <c r="G26" s="2">
        <v>0.49199999999999999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U19"/>
  <sheetViews>
    <sheetView topLeftCell="A4" workbookViewId="0">
      <selection activeCell="F9" sqref="F9"/>
    </sheetView>
  </sheetViews>
  <sheetFormatPr baseColWidth="10" defaultRowHeight="15" x14ac:dyDescent="0"/>
  <cols>
    <col min="1" max="1" width="13" customWidth="1"/>
    <col min="2" max="2" width="8.6640625" bestFit="1" customWidth="1"/>
    <col min="3" max="3" width="12.1640625" bestFit="1" customWidth="1"/>
    <col min="4" max="4" width="8.33203125" bestFit="1" customWidth="1"/>
    <col min="5" max="5" width="10.1640625" bestFit="1" customWidth="1"/>
    <col min="6" max="6" width="12.1640625" customWidth="1"/>
    <col min="7" max="7" width="7.83203125" customWidth="1"/>
    <col min="8" max="8" width="15.5" customWidth="1"/>
    <col min="10" max="15" width="8.83203125" customWidth="1"/>
    <col min="16" max="21" width="9.33203125" customWidth="1"/>
  </cols>
  <sheetData>
    <row r="3" spans="1:21">
      <c r="B3" s="3" t="s">
        <v>9</v>
      </c>
    </row>
    <row r="4" spans="1:21" ht="45">
      <c r="A4" s="3" t="s">
        <v>7</v>
      </c>
      <c r="B4" t="s">
        <v>19</v>
      </c>
      <c r="C4" t="s">
        <v>18</v>
      </c>
      <c r="D4" t="s">
        <v>20</v>
      </c>
      <c r="E4" t="s">
        <v>541</v>
      </c>
      <c r="F4" t="s">
        <v>21</v>
      </c>
      <c r="G4" t="s">
        <v>22</v>
      </c>
      <c r="I4" s="7" t="s">
        <v>6</v>
      </c>
      <c r="J4" s="8" t="str">
        <f>CONCATENATE($A$5, " - ", LOWER(B4))</f>
        <v>OFF - max loss</v>
      </c>
      <c r="K4" s="8" t="str">
        <f t="shared" ref="K4:O4" si="0">CONCATENATE($A$5, " - ", LOWER(C4))</f>
        <v>OFF - avg loss</v>
      </c>
      <c r="L4" s="8" t="str">
        <f t="shared" si="0"/>
        <v>OFF - min loss</v>
      </c>
      <c r="M4" s="8" t="str">
        <f t="shared" si="0"/>
        <v>OFF - max of acc</v>
      </c>
      <c r="N4" s="8" t="str">
        <f t="shared" si="0"/>
        <v>OFF - avg acc</v>
      </c>
      <c r="O4" s="8" t="str">
        <f t="shared" si="0"/>
        <v>OFF - min acc</v>
      </c>
      <c r="P4" s="8" t="str">
        <f>CONCATENATE($A$12, " - ", LOWER(B4))</f>
        <v>ON - max loss</v>
      </c>
      <c r="Q4" s="8" t="str">
        <f t="shared" ref="Q4:U4" si="1">CONCATENATE($A$12, " - ", LOWER(C4))</f>
        <v>ON - avg loss</v>
      </c>
      <c r="R4" s="8" t="str">
        <f t="shared" si="1"/>
        <v>ON - min loss</v>
      </c>
      <c r="S4" s="8" t="str">
        <f t="shared" si="1"/>
        <v>ON - max of acc</v>
      </c>
      <c r="T4" s="8" t="str">
        <f t="shared" si="1"/>
        <v>ON - avg acc</v>
      </c>
      <c r="U4" s="8" t="str">
        <f t="shared" si="1"/>
        <v>ON - min acc</v>
      </c>
    </row>
    <row r="5" spans="1:21">
      <c r="A5" s="4" t="s">
        <v>548</v>
      </c>
      <c r="B5" s="2">
        <v>2.6053000000000002</v>
      </c>
      <c r="C5" s="2">
        <v>1.9920194444444435</v>
      </c>
      <c r="D5" s="2">
        <v>1.6083000000000001</v>
      </c>
      <c r="E5" s="2">
        <v>0.56850000000000001</v>
      </c>
      <c r="F5" s="2">
        <v>0.52843672839506228</v>
      </c>
      <c r="G5" s="2">
        <v>0.47149999999999997</v>
      </c>
      <c r="I5" s="6" t="s">
        <v>10</v>
      </c>
      <c r="J5" s="10">
        <f>B6</f>
        <v>2.3136000000000001</v>
      </c>
      <c r="K5" s="10">
        <f t="shared" ref="K5:O10" si="2">C6</f>
        <v>1.9209907407407409</v>
      </c>
      <c r="L5" s="10">
        <f t="shared" si="2"/>
        <v>1.6573</v>
      </c>
      <c r="M5" s="10">
        <f t="shared" si="2"/>
        <v>0.55449999999999999</v>
      </c>
      <c r="N5" s="10">
        <f t="shared" si="2"/>
        <v>0.52467592592592616</v>
      </c>
      <c r="O5" s="10">
        <f t="shared" si="2"/>
        <v>0.48449999999999999</v>
      </c>
      <c r="P5" s="10">
        <f>B13</f>
        <v>2.2050000000000001</v>
      </c>
      <c r="Q5" s="10">
        <f t="shared" ref="Q5:U5" si="3">C13</f>
        <v>1.8907962264150942</v>
      </c>
      <c r="R5" s="10">
        <f t="shared" si="3"/>
        <v>1.6055999999999999</v>
      </c>
      <c r="S5" s="10">
        <f t="shared" si="3"/>
        <v>0.55900000000000005</v>
      </c>
      <c r="T5" s="10">
        <f t="shared" si="3"/>
        <v>0.52415094339622648</v>
      </c>
      <c r="U5" s="10">
        <f t="shared" si="3"/>
        <v>0.48799999999999999</v>
      </c>
    </row>
    <row r="6" spans="1:21">
      <c r="A6" s="5" t="s">
        <v>0</v>
      </c>
      <c r="B6" s="2">
        <v>2.3136000000000001</v>
      </c>
      <c r="C6" s="2">
        <v>1.9209907407407409</v>
      </c>
      <c r="D6" s="2">
        <v>1.6573</v>
      </c>
      <c r="E6" s="2">
        <v>0.55449999999999999</v>
      </c>
      <c r="F6" s="2">
        <v>0.52467592592592616</v>
      </c>
      <c r="G6" s="2">
        <v>0.48449999999999999</v>
      </c>
      <c r="I6" s="6" t="s">
        <v>11</v>
      </c>
      <c r="J6" s="10">
        <f t="shared" ref="J6:J10" si="4">B7</f>
        <v>2.4165999999999999</v>
      </c>
      <c r="K6" s="10">
        <f t="shared" si="2"/>
        <v>1.9548018518518526</v>
      </c>
      <c r="L6" s="10">
        <f t="shared" si="2"/>
        <v>1.6236999999999999</v>
      </c>
      <c r="M6" s="10">
        <f t="shared" si="2"/>
        <v>0.56699999999999995</v>
      </c>
      <c r="N6" s="10">
        <f t="shared" si="2"/>
        <v>0.52966666666666651</v>
      </c>
      <c r="O6" s="10">
        <f t="shared" si="2"/>
        <v>0.49199999999999999</v>
      </c>
      <c r="P6" s="10">
        <f t="shared" ref="P6:U10" si="5">B14</f>
        <v>2.2917999999999998</v>
      </c>
      <c r="Q6" s="10">
        <f t="shared" si="5"/>
        <v>1.8979150943396224</v>
      </c>
      <c r="R6" s="10">
        <f t="shared" si="5"/>
        <v>1.6620999999999999</v>
      </c>
      <c r="S6" s="10">
        <f t="shared" si="5"/>
        <v>0.56000000000000005</v>
      </c>
      <c r="T6" s="10">
        <f t="shared" si="5"/>
        <v>0.52764150943396249</v>
      </c>
      <c r="U6" s="10">
        <f t="shared" si="5"/>
        <v>0.49349999999999999</v>
      </c>
    </row>
    <row r="7" spans="1:21">
      <c r="A7" s="5" t="s">
        <v>1</v>
      </c>
      <c r="B7" s="2">
        <v>2.4165999999999999</v>
      </c>
      <c r="C7" s="2">
        <v>1.9548018518518526</v>
      </c>
      <c r="D7" s="2">
        <v>1.6236999999999999</v>
      </c>
      <c r="E7" s="2">
        <v>0.56699999999999995</v>
      </c>
      <c r="F7" s="2">
        <v>0.52966666666666651</v>
      </c>
      <c r="G7" s="2">
        <v>0.49199999999999999</v>
      </c>
      <c r="I7" s="6" t="s">
        <v>12</v>
      </c>
      <c r="J7" s="10">
        <f t="shared" si="4"/>
        <v>2.4243000000000001</v>
      </c>
      <c r="K7" s="10">
        <f t="shared" si="2"/>
        <v>1.962553703703704</v>
      </c>
      <c r="L7" s="10">
        <f t="shared" si="2"/>
        <v>1.6083000000000001</v>
      </c>
      <c r="M7" s="10">
        <f t="shared" si="2"/>
        <v>0.56850000000000001</v>
      </c>
      <c r="N7" s="10">
        <f t="shared" si="2"/>
        <v>0.53132407407407378</v>
      </c>
      <c r="O7" s="10">
        <f t="shared" si="2"/>
        <v>0.48499999999999999</v>
      </c>
      <c r="P7" s="10">
        <f t="shared" si="5"/>
        <v>2.3031999999999999</v>
      </c>
      <c r="Q7" s="10">
        <f t="shared" si="5"/>
        <v>1.9208641509433964</v>
      </c>
      <c r="R7" s="10">
        <f t="shared" si="5"/>
        <v>1.6281000000000001</v>
      </c>
      <c r="S7" s="10">
        <f t="shared" si="5"/>
        <v>0.55900000000000005</v>
      </c>
      <c r="T7" s="10">
        <f t="shared" si="5"/>
        <v>0.53216981132075492</v>
      </c>
      <c r="U7" s="10">
        <f t="shared" si="5"/>
        <v>0.504</v>
      </c>
    </row>
    <row r="8" spans="1:21">
      <c r="A8" s="5" t="s">
        <v>2</v>
      </c>
      <c r="B8" s="2">
        <v>2.4243000000000001</v>
      </c>
      <c r="C8" s="2">
        <v>1.962553703703704</v>
      </c>
      <c r="D8" s="2">
        <v>1.6083000000000001</v>
      </c>
      <c r="E8" s="2">
        <v>0.56850000000000001</v>
      </c>
      <c r="F8" s="2">
        <v>0.53132407407407378</v>
      </c>
      <c r="G8" s="2">
        <v>0.48499999999999999</v>
      </c>
      <c r="I8" s="6" t="s">
        <v>13</v>
      </c>
      <c r="J8" s="10">
        <f t="shared" si="4"/>
        <v>2.5337999999999998</v>
      </c>
      <c r="K8" s="10">
        <f t="shared" si="2"/>
        <v>2.0069907407407399</v>
      </c>
      <c r="L8" s="10">
        <f t="shared" si="2"/>
        <v>1.6688000000000001</v>
      </c>
      <c r="M8" s="10">
        <f t="shared" si="2"/>
        <v>0.5585</v>
      </c>
      <c r="N8" s="10">
        <f t="shared" si="2"/>
        <v>0.52844444444444438</v>
      </c>
      <c r="O8" s="10">
        <f t="shared" si="2"/>
        <v>0.47149999999999997</v>
      </c>
      <c r="P8" s="10">
        <f t="shared" si="5"/>
        <v>2.4039000000000001</v>
      </c>
      <c r="Q8" s="10">
        <f t="shared" si="5"/>
        <v>1.9321849056603773</v>
      </c>
      <c r="R8" s="10">
        <f t="shared" si="5"/>
        <v>1.5972999999999999</v>
      </c>
      <c r="S8" s="10">
        <f t="shared" si="5"/>
        <v>0.57350000000000001</v>
      </c>
      <c r="T8" s="10">
        <f t="shared" si="5"/>
        <v>0.53461320754716968</v>
      </c>
      <c r="U8" s="10">
        <f t="shared" si="5"/>
        <v>0.502</v>
      </c>
    </row>
    <row r="9" spans="1:21">
      <c r="A9" s="5" t="s">
        <v>3</v>
      </c>
      <c r="B9" s="2">
        <v>2.5337999999999998</v>
      </c>
      <c r="C9" s="2">
        <v>2.0069907407407399</v>
      </c>
      <c r="D9" s="2">
        <v>1.6688000000000001</v>
      </c>
      <c r="E9" s="2">
        <v>0.5585</v>
      </c>
      <c r="F9" s="2">
        <v>0.52844444444444438</v>
      </c>
      <c r="G9" s="2">
        <v>0.47149999999999997</v>
      </c>
      <c r="I9" s="6" t="s">
        <v>14</v>
      </c>
      <c r="J9" s="10">
        <f t="shared" si="4"/>
        <v>2.516</v>
      </c>
      <c r="K9" s="10">
        <f t="shared" si="2"/>
        <v>2.0446074074074079</v>
      </c>
      <c r="L9" s="10">
        <f t="shared" si="2"/>
        <v>1.6259999999999999</v>
      </c>
      <c r="M9" s="10">
        <f t="shared" si="2"/>
        <v>0.5595</v>
      </c>
      <c r="N9" s="10">
        <f t="shared" si="2"/>
        <v>0.52800000000000002</v>
      </c>
      <c r="O9" s="10">
        <f t="shared" si="2"/>
        <v>0.48899999999999999</v>
      </c>
      <c r="P9" s="10">
        <f t="shared" si="5"/>
        <v>2.4651999999999998</v>
      </c>
      <c r="Q9" s="10">
        <f t="shared" si="5"/>
        <v>1.9628584905660376</v>
      </c>
      <c r="R9" s="10">
        <f t="shared" si="5"/>
        <v>1.639</v>
      </c>
      <c r="S9" s="10">
        <f t="shared" si="5"/>
        <v>0.5605</v>
      </c>
      <c r="T9" s="10">
        <f t="shared" si="5"/>
        <v>0.53415094339622649</v>
      </c>
      <c r="U9" s="10">
        <f t="shared" si="5"/>
        <v>0.50349999999999995</v>
      </c>
    </row>
    <row r="10" spans="1:21">
      <c r="A10" s="5" t="s">
        <v>4</v>
      </c>
      <c r="B10" s="2">
        <v>2.516</v>
      </c>
      <c r="C10" s="2">
        <v>2.0446074074074079</v>
      </c>
      <c r="D10" s="2">
        <v>1.6259999999999999</v>
      </c>
      <c r="E10" s="2">
        <v>0.5595</v>
      </c>
      <c r="F10" s="2">
        <v>0.52800000000000002</v>
      </c>
      <c r="G10" s="2">
        <v>0.48899999999999999</v>
      </c>
      <c r="I10" s="6" t="s">
        <v>15</v>
      </c>
      <c r="J10" s="10">
        <f t="shared" si="4"/>
        <v>2.6053000000000002</v>
      </c>
      <c r="K10" s="10">
        <f t="shared" si="2"/>
        <v>2.0621722222222223</v>
      </c>
      <c r="L10" s="10">
        <f t="shared" si="2"/>
        <v>1.6587000000000001</v>
      </c>
      <c r="M10" s="10">
        <f t="shared" si="2"/>
        <v>0.56799999999999995</v>
      </c>
      <c r="N10" s="10">
        <f t="shared" si="2"/>
        <v>0.52850925925925918</v>
      </c>
      <c r="O10" s="10">
        <f t="shared" si="2"/>
        <v>0.48899999999999999</v>
      </c>
      <c r="P10" s="10">
        <f t="shared" si="5"/>
        <v>2.4912000000000001</v>
      </c>
      <c r="Q10" s="10">
        <f t="shared" si="5"/>
        <v>1.9820773584905667</v>
      </c>
      <c r="R10" s="10">
        <f t="shared" si="5"/>
        <v>1.6245000000000001</v>
      </c>
      <c r="S10" s="10">
        <f t="shared" si="5"/>
        <v>0.56699999999999995</v>
      </c>
      <c r="T10" s="10">
        <f t="shared" si="5"/>
        <v>0.5355377358490564</v>
      </c>
      <c r="U10" s="10">
        <f t="shared" si="5"/>
        <v>0.499</v>
      </c>
    </row>
    <row r="11" spans="1:21">
      <c r="A11" s="5" t="s">
        <v>5</v>
      </c>
      <c r="B11" s="2">
        <v>2.6053000000000002</v>
      </c>
      <c r="C11" s="2">
        <v>2.0621722222222223</v>
      </c>
      <c r="D11" s="2">
        <v>1.6587000000000001</v>
      </c>
      <c r="E11" s="2">
        <v>0.56799999999999995</v>
      </c>
      <c r="F11" s="2">
        <v>0.52850925925925918</v>
      </c>
      <c r="G11" s="2">
        <v>0.48899999999999999</v>
      </c>
    </row>
    <row r="12" spans="1:21">
      <c r="A12" s="4" t="s">
        <v>547</v>
      </c>
      <c r="B12" s="2">
        <v>2.4912000000000001</v>
      </c>
      <c r="C12" s="2">
        <v>1.9311160377358498</v>
      </c>
      <c r="D12" s="2">
        <v>1.5972999999999999</v>
      </c>
      <c r="E12" s="2">
        <v>0.57350000000000001</v>
      </c>
      <c r="F12" s="2">
        <v>0.53137735849056555</v>
      </c>
      <c r="G12" s="2">
        <v>0.48799999999999999</v>
      </c>
    </row>
    <row r="13" spans="1:21">
      <c r="A13" s="5" t="s">
        <v>0</v>
      </c>
      <c r="B13" s="2">
        <v>2.2050000000000001</v>
      </c>
      <c r="C13" s="2">
        <v>1.8907962264150942</v>
      </c>
      <c r="D13" s="2">
        <v>1.6055999999999999</v>
      </c>
      <c r="E13" s="2">
        <v>0.55900000000000005</v>
      </c>
      <c r="F13" s="2">
        <v>0.52415094339622648</v>
      </c>
      <c r="G13" s="2">
        <v>0.48799999999999999</v>
      </c>
    </row>
    <row r="14" spans="1:21">
      <c r="A14" s="5" t="s">
        <v>1</v>
      </c>
      <c r="B14" s="2">
        <v>2.2917999999999998</v>
      </c>
      <c r="C14" s="2">
        <v>1.8979150943396224</v>
      </c>
      <c r="D14" s="2">
        <v>1.6620999999999999</v>
      </c>
      <c r="E14" s="2">
        <v>0.56000000000000005</v>
      </c>
      <c r="F14" s="2">
        <v>0.52764150943396249</v>
      </c>
      <c r="G14" s="2">
        <v>0.49349999999999999</v>
      </c>
    </row>
    <row r="15" spans="1:21">
      <c r="A15" s="5" t="s">
        <v>2</v>
      </c>
      <c r="B15" s="2">
        <v>2.3031999999999999</v>
      </c>
      <c r="C15" s="2">
        <v>1.9208641509433964</v>
      </c>
      <c r="D15" s="2">
        <v>1.6281000000000001</v>
      </c>
      <c r="E15" s="2">
        <v>0.55900000000000005</v>
      </c>
      <c r="F15" s="2">
        <v>0.53216981132075492</v>
      </c>
      <c r="G15" s="2">
        <v>0.504</v>
      </c>
    </row>
    <row r="16" spans="1:21">
      <c r="A16" s="5" t="s">
        <v>3</v>
      </c>
      <c r="B16" s="2">
        <v>2.4039000000000001</v>
      </c>
      <c r="C16" s="2">
        <v>1.9321849056603773</v>
      </c>
      <c r="D16" s="2">
        <v>1.5972999999999999</v>
      </c>
      <c r="E16" s="2">
        <v>0.57350000000000001</v>
      </c>
      <c r="F16" s="2">
        <v>0.53461320754716968</v>
      </c>
      <c r="G16" s="2">
        <v>0.502</v>
      </c>
    </row>
    <row r="17" spans="1:7">
      <c r="A17" s="5" t="s">
        <v>4</v>
      </c>
      <c r="B17" s="2">
        <v>2.4651999999999998</v>
      </c>
      <c r="C17" s="2">
        <v>1.9628584905660376</v>
      </c>
      <c r="D17" s="2">
        <v>1.639</v>
      </c>
      <c r="E17" s="2">
        <v>0.5605</v>
      </c>
      <c r="F17" s="2">
        <v>0.53415094339622649</v>
      </c>
      <c r="G17" s="2">
        <v>0.50349999999999995</v>
      </c>
    </row>
    <row r="18" spans="1:7">
      <c r="A18" s="5" t="s">
        <v>5</v>
      </c>
      <c r="B18" s="2">
        <v>2.4912000000000001</v>
      </c>
      <c r="C18" s="2">
        <v>1.9820773584905667</v>
      </c>
      <c r="D18" s="2">
        <v>1.6245000000000001</v>
      </c>
      <c r="E18" s="2">
        <v>0.56699999999999995</v>
      </c>
      <c r="F18" s="2">
        <v>0.5355377358490564</v>
      </c>
      <c r="G18" s="2">
        <v>0.499</v>
      </c>
    </row>
    <row r="19" spans="1:7">
      <c r="A19" s="4" t="s">
        <v>8</v>
      </c>
      <c r="B19" s="2">
        <v>2.6053000000000002</v>
      </c>
      <c r="C19" s="2">
        <v>1.9618523364485967</v>
      </c>
      <c r="D19" s="2">
        <v>1.5972999999999999</v>
      </c>
      <c r="E19" s="2">
        <v>0.57350000000000001</v>
      </c>
      <c r="F19" s="2">
        <v>0.52989330218068575</v>
      </c>
      <c r="G19" s="2">
        <v>0.47149999999999997</v>
      </c>
    </row>
  </sheetData>
  <pageMargins left="0.75" right="0.75" top="1" bottom="1" header="0.5" footer="0.5"/>
  <pageSetup orientation="portrait" horizontalDpi="4294967292" verticalDpi="4294967292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U19"/>
  <sheetViews>
    <sheetView topLeftCell="A6" workbookViewId="0">
      <selection activeCell="E10" sqref="E10"/>
    </sheetView>
  </sheetViews>
  <sheetFormatPr baseColWidth="10" defaultRowHeight="15" x14ac:dyDescent="0"/>
  <cols>
    <col min="1" max="1" width="13" customWidth="1"/>
    <col min="2" max="2" width="8.6640625" bestFit="1" customWidth="1"/>
    <col min="3" max="3" width="12.1640625" bestFit="1" customWidth="1"/>
    <col min="4" max="4" width="8.33203125" bestFit="1" customWidth="1"/>
    <col min="5" max="5" width="8.1640625" bestFit="1" customWidth="1"/>
    <col min="6" max="6" width="12.1640625" bestFit="1" customWidth="1"/>
    <col min="7" max="7" width="7.83203125" bestFit="1" customWidth="1"/>
    <col min="8" max="8" width="13.6640625" bestFit="1" customWidth="1"/>
    <col min="10" max="15" width="8.83203125" customWidth="1"/>
    <col min="16" max="21" width="9.33203125" customWidth="1"/>
  </cols>
  <sheetData>
    <row r="3" spans="1:21">
      <c r="B3" s="3" t="s">
        <v>9</v>
      </c>
    </row>
    <row r="4" spans="1:21" ht="30">
      <c r="A4" s="3" t="s">
        <v>7</v>
      </c>
      <c r="B4" t="s">
        <v>19</v>
      </c>
      <c r="C4" t="s">
        <v>18</v>
      </c>
      <c r="D4" t="s">
        <v>20</v>
      </c>
      <c r="E4" t="s">
        <v>23</v>
      </c>
      <c r="F4" t="s">
        <v>21</v>
      </c>
      <c r="G4" t="s">
        <v>22</v>
      </c>
      <c r="I4" s="7" t="s">
        <v>6</v>
      </c>
      <c r="J4" s="8" t="str">
        <f>CONCATENATE($A$5, " - ", LOWER(B4))</f>
        <v>adam - max loss</v>
      </c>
      <c r="K4" s="8" t="str">
        <f t="shared" ref="K4:O4" si="0">CONCATENATE($A$5, " - ", LOWER(C4))</f>
        <v>adam - avg loss</v>
      </c>
      <c r="L4" s="8" t="str">
        <f t="shared" si="0"/>
        <v>adam - min loss</v>
      </c>
      <c r="M4" s="8" t="str">
        <f t="shared" si="0"/>
        <v>adam - max acc</v>
      </c>
      <c r="N4" s="8" t="str">
        <f t="shared" si="0"/>
        <v>adam - avg acc</v>
      </c>
      <c r="O4" s="8" t="str">
        <f t="shared" si="0"/>
        <v>adam - min acc</v>
      </c>
      <c r="P4" s="8" t="str">
        <f>CONCATENATE($A$12, " - ", LOWER(B4))</f>
        <v>rmsprop - max loss</v>
      </c>
      <c r="Q4" s="8" t="str">
        <f t="shared" ref="Q4:U4" si="1">CONCATENATE($A$12, " - ", LOWER(C4))</f>
        <v>rmsprop - avg loss</v>
      </c>
      <c r="R4" s="8" t="str">
        <f t="shared" si="1"/>
        <v>rmsprop - min loss</v>
      </c>
      <c r="S4" s="8" t="str">
        <f t="shared" si="1"/>
        <v>rmsprop - max acc</v>
      </c>
      <c r="T4" s="8" t="str">
        <f t="shared" si="1"/>
        <v>rmsprop - avg acc</v>
      </c>
      <c r="U4" s="8" t="str">
        <f t="shared" si="1"/>
        <v>rmsprop - min acc</v>
      </c>
    </row>
    <row r="5" spans="1:21">
      <c r="A5" s="4" t="s">
        <v>531</v>
      </c>
      <c r="B5" s="2">
        <v>2.6053000000000002</v>
      </c>
      <c r="C5" s="2">
        <v>2.1566620370370373</v>
      </c>
      <c r="D5" s="2">
        <v>1.776</v>
      </c>
      <c r="E5" s="2">
        <v>0.55900000000000005</v>
      </c>
      <c r="F5" s="2">
        <v>0.52219444444444452</v>
      </c>
      <c r="G5" s="2">
        <v>0.47149999999999997</v>
      </c>
      <c r="I5" s="6" t="s">
        <v>10</v>
      </c>
      <c r="J5" s="10">
        <f>B6</f>
        <v>2.3136000000000001</v>
      </c>
      <c r="K5" s="10">
        <f t="shared" ref="K5:K10" si="2">C6</f>
        <v>2.047057407407407</v>
      </c>
      <c r="L5" s="10">
        <f t="shared" ref="L5:L10" si="3">D6</f>
        <v>1.776</v>
      </c>
      <c r="M5" s="10">
        <f t="shared" ref="M5:M10" si="4">E6</f>
        <v>0.55900000000000005</v>
      </c>
      <c r="N5" s="10">
        <f t="shared" ref="N5:N10" si="5">F6</f>
        <v>0.52103703703703708</v>
      </c>
      <c r="O5" s="10">
        <f t="shared" ref="O5:O10" si="6">G6</f>
        <v>0.48449999999999999</v>
      </c>
      <c r="P5" s="10">
        <f>B13</f>
        <v>1.8984000000000001</v>
      </c>
      <c r="Q5" s="10">
        <f t="shared" ref="Q5:U5" si="7">C13</f>
        <v>1.7623509433962268</v>
      </c>
      <c r="R5" s="10">
        <f t="shared" si="7"/>
        <v>1.6055999999999999</v>
      </c>
      <c r="S5" s="10">
        <f t="shared" si="7"/>
        <v>0.55500000000000005</v>
      </c>
      <c r="T5" s="10">
        <f t="shared" si="7"/>
        <v>0.52785849056603784</v>
      </c>
      <c r="U5" s="10">
        <f t="shared" si="7"/>
        <v>0.48799999999999999</v>
      </c>
    </row>
    <row r="6" spans="1:21">
      <c r="A6" s="5" t="s">
        <v>0</v>
      </c>
      <c r="B6" s="2">
        <v>2.3136000000000001</v>
      </c>
      <c r="C6" s="2">
        <v>2.047057407407407</v>
      </c>
      <c r="D6" s="2">
        <v>1.776</v>
      </c>
      <c r="E6" s="2">
        <v>0.55900000000000005</v>
      </c>
      <c r="F6" s="2">
        <v>0.52103703703703708</v>
      </c>
      <c r="G6" s="2">
        <v>0.48449999999999999</v>
      </c>
      <c r="I6" s="6" t="s">
        <v>11</v>
      </c>
      <c r="J6" s="10">
        <f t="shared" ref="J6:J10" si="8">B7</f>
        <v>2.4165999999999999</v>
      </c>
      <c r="K6" s="10">
        <f t="shared" si="2"/>
        <v>2.0986537037037034</v>
      </c>
      <c r="L6" s="10">
        <f t="shared" si="3"/>
        <v>1.8262</v>
      </c>
      <c r="M6" s="10">
        <f t="shared" si="4"/>
        <v>0.54700000000000004</v>
      </c>
      <c r="N6" s="10">
        <f t="shared" si="5"/>
        <v>0.52191666666666681</v>
      </c>
      <c r="O6" s="10">
        <f t="shared" si="6"/>
        <v>0.49199999999999999</v>
      </c>
      <c r="P6" s="10">
        <f t="shared" ref="P6:U6" si="9">B14</f>
        <v>2.0958000000000001</v>
      </c>
      <c r="Q6" s="10">
        <f t="shared" si="9"/>
        <v>1.7513490566037735</v>
      </c>
      <c r="R6" s="10">
        <f t="shared" si="9"/>
        <v>1.6236999999999999</v>
      </c>
      <c r="S6" s="10">
        <f t="shared" si="9"/>
        <v>0.56699999999999995</v>
      </c>
      <c r="T6" s="10">
        <f t="shared" si="9"/>
        <v>0.53553773584905662</v>
      </c>
      <c r="U6" s="10">
        <f t="shared" si="9"/>
        <v>0.495</v>
      </c>
    </row>
    <row r="7" spans="1:21">
      <c r="A7" s="5" t="s">
        <v>1</v>
      </c>
      <c r="B7" s="2">
        <v>2.4165999999999999</v>
      </c>
      <c r="C7" s="2">
        <v>2.0986537037037034</v>
      </c>
      <c r="D7" s="2">
        <v>1.8262</v>
      </c>
      <c r="E7" s="2">
        <v>0.54700000000000004</v>
      </c>
      <c r="F7" s="2">
        <v>0.52191666666666681</v>
      </c>
      <c r="G7" s="2">
        <v>0.49199999999999999</v>
      </c>
      <c r="I7" s="6" t="s">
        <v>12</v>
      </c>
      <c r="J7" s="10">
        <f t="shared" si="8"/>
        <v>2.4243000000000001</v>
      </c>
      <c r="K7" s="10">
        <f t="shared" si="2"/>
        <v>2.1336944444444446</v>
      </c>
      <c r="L7" s="10">
        <f t="shared" si="3"/>
        <v>1.8237000000000001</v>
      </c>
      <c r="M7" s="10">
        <f t="shared" si="4"/>
        <v>0.54949999999999999</v>
      </c>
      <c r="N7" s="10">
        <f t="shared" si="5"/>
        <v>0.52486111111111111</v>
      </c>
      <c r="O7" s="10">
        <f t="shared" si="6"/>
        <v>0.48499999999999999</v>
      </c>
      <c r="P7" s="10">
        <f t="shared" ref="P7:U7" si="10">B15</f>
        <v>1.9414</v>
      </c>
      <c r="Q7" s="10">
        <f t="shared" si="10"/>
        <v>1.7464943396226416</v>
      </c>
      <c r="R7" s="10">
        <f t="shared" si="10"/>
        <v>1.6083000000000001</v>
      </c>
      <c r="S7" s="10">
        <f t="shared" si="10"/>
        <v>0.56850000000000001</v>
      </c>
      <c r="T7" s="10">
        <f t="shared" si="10"/>
        <v>0.5387547169811322</v>
      </c>
      <c r="U7" s="10">
        <f t="shared" si="10"/>
        <v>0.504</v>
      </c>
    </row>
    <row r="8" spans="1:21">
      <c r="A8" s="5" t="s">
        <v>2</v>
      </c>
      <c r="B8" s="2">
        <v>2.4243000000000001</v>
      </c>
      <c r="C8" s="2">
        <v>2.1336944444444446</v>
      </c>
      <c r="D8" s="2">
        <v>1.8237000000000001</v>
      </c>
      <c r="E8" s="2">
        <v>0.54949999999999999</v>
      </c>
      <c r="F8" s="2">
        <v>0.52486111111111111</v>
      </c>
      <c r="G8" s="2">
        <v>0.48499999999999999</v>
      </c>
      <c r="I8" s="6" t="s">
        <v>13</v>
      </c>
      <c r="J8" s="10">
        <f t="shared" si="8"/>
        <v>2.5337999999999998</v>
      </c>
      <c r="K8" s="10">
        <f t="shared" si="2"/>
        <v>2.1701351851851842</v>
      </c>
      <c r="L8" s="10">
        <f t="shared" si="3"/>
        <v>1.8843000000000001</v>
      </c>
      <c r="M8" s="10">
        <f t="shared" si="4"/>
        <v>0.55649999999999999</v>
      </c>
      <c r="N8" s="10">
        <f t="shared" si="5"/>
        <v>0.52397222222222206</v>
      </c>
      <c r="O8" s="10">
        <f t="shared" si="6"/>
        <v>0.47149999999999997</v>
      </c>
      <c r="P8" s="10">
        <f t="shared" ref="P8:U8" si="11">B16</f>
        <v>1.9233</v>
      </c>
      <c r="Q8" s="10">
        <f t="shared" si="11"/>
        <v>1.7659622641509432</v>
      </c>
      <c r="R8" s="10">
        <f t="shared" si="11"/>
        <v>1.5972999999999999</v>
      </c>
      <c r="S8" s="10">
        <f t="shared" si="11"/>
        <v>0.57350000000000001</v>
      </c>
      <c r="T8" s="10">
        <f t="shared" si="11"/>
        <v>0.53916981132075459</v>
      </c>
      <c r="U8" s="10">
        <f t="shared" si="11"/>
        <v>0.51300000000000001</v>
      </c>
    </row>
    <row r="9" spans="1:21">
      <c r="A9" s="5" t="s">
        <v>3</v>
      </c>
      <c r="B9" s="2">
        <v>2.5337999999999998</v>
      </c>
      <c r="C9" s="2">
        <v>2.1701351851851842</v>
      </c>
      <c r="D9" s="2">
        <v>1.8843000000000001</v>
      </c>
      <c r="E9" s="2">
        <v>0.55649999999999999</v>
      </c>
      <c r="F9" s="2">
        <v>0.52397222222222206</v>
      </c>
      <c r="G9" s="2">
        <v>0.47149999999999997</v>
      </c>
      <c r="I9" s="6" t="s">
        <v>14</v>
      </c>
      <c r="J9" s="10">
        <f t="shared" si="8"/>
        <v>2.516</v>
      </c>
      <c r="K9" s="10">
        <f t="shared" si="2"/>
        <v>2.2345648148148149</v>
      </c>
      <c r="L9" s="10">
        <f t="shared" si="3"/>
        <v>1.9470000000000001</v>
      </c>
      <c r="M9" s="10">
        <f t="shared" si="4"/>
        <v>0.55300000000000005</v>
      </c>
      <c r="N9" s="10">
        <f t="shared" si="5"/>
        <v>0.52068518518518514</v>
      </c>
      <c r="O9" s="10">
        <f t="shared" si="6"/>
        <v>0.48899999999999999</v>
      </c>
      <c r="P9" s="10">
        <f t="shared" ref="P9:U9" si="12">B17</f>
        <v>1.9830000000000001</v>
      </c>
      <c r="Q9" s="10">
        <f t="shared" si="12"/>
        <v>1.7693169811320748</v>
      </c>
      <c r="R9" s="10">
        <f t="shared" si="12"/>
        <v>1.6259999999999999</v>
      </c>
      <c r="S9" s="10">
        <f t="shared" si="12"/>
        <v>0.5605</v>
      </c>
      <c r="T9" s="10">
        <f t="shared" si="12"/>
        <v>0.54160377358490575</v>
      </c>
      <c r="U9" s="10">
        <f t="shared" si="12"/>
        <v>0.50349999999999995</v>
      </c>
    </row>
    <row r="10" spans="1:21">
      <c r="A10" s="5" t="s">
        <v>4</v>
      </c>
      <c r="B10" s="2">
        <v>2.516</v>
      </c>
      <c r="C10" s="2">
        <v>2.2345648148148149</v>
      </c>
      <c r="D10" s="2">
        <v>1.9470000000000001</v>
      </c>
      <c r="E10" s="2">
        <v>0.55300000000000005</v>
      </c>
      <c r="F10" s="2">
        <v>0.52068518518518514</v>
      </c>
      <c r="G10" s="2">
        <v>0.48899999999999999</v>
      </c>
      <c r="I10" s="6" t="s">
        <v>15</v>
      </c>
      <c r="J10" s="10">
        <f t="shared" si="8"/>
        <v>2.6053000000000002</v>
      </c>
      <c r="K10" s="10">
        <f t="shared" si="2"/>
        <v>2.2558666666666674</v>
      </c>
      <c r="L10" s="10">
        <f t="shared" si="3"/>
        <v>1.9359999999999999</v>
      </c>
      <c r="M10" s="10">
        <f t="shared" si="4"/>
        <v>0.55449999999999999</v>
      </c>
      <c r="N10" s="10">
        <f t="shared" si="5"/>
        <v>0.52069444444444457</v>
      </c>
      <c r="O10" s="10">
        <f t="shared" si="6"/>
        <v>0.48899999999999999</v>
      </c>
      <c r="P10" s="10">
        <f t="shared" ref="P10:U10" si="13">B18</f>
        <v>2.0055999999999998</v>
      </c>
      <c r="Q10" s="10">
        <f t="shared" si="13"/>
        <v>1.7847283018867923</v>
      </c>
      <c r="R10" s="10">
        <f t="shared" si="13"/>
        <v>1.6245000000000001</v>
      </c>
      <c r="S10" s="10">
        <f t="shared" si="13"/>
        <v>0.56799999999999995</v>
      </c>
      <c r="T10" s="10">
        <f t="shared" si="13"/>
        <v>0.54349999999999976</v>
      </c>
      <c r="U10" s="10">
        <f t="shared" si="13"/>
        <v>0.50149999999999995</v>
      </c>
    </row>
    <row r="11" spans="1:21">
      <c r="A11" s="5" t="s">
        <v>5</v>
      </c>
      <c r="B11" s="2">
        <v>2.6053000000000002</v>
      </c>
      <c r="C11" s="2">
        <v>2.2558666666666674</v>
      </c>
      <c r="D11" s="2">
        <v>1.9359999999999999</v>
      </c>
      <c r="E11" s="2">
        <v>0.55449999999999999</v>
      </c>
      <c r="F11" s="2">
        <v>0.52069444444444457</v>
      </c>
      <c r="G11" s="2">
        <v>0.48899999999999999</v>
      </c>
    </row>
    <row r="12" spans="1:21">
      <c r="A12" s="4" t="s">
        <v>532</v>
      </c>
      <c r="B12" s="2">
        <v>2.0958000000000001</v>
      </c>
      <c r="C12" s="2">
        <v>1.7633669811320738</v>
      </c>
      <c r="D12" s="2">
        <v>1.5972999999999999</v>
      </c>
      <c r="E12" s="2">
        <v>0.57350000000000001</v>
      </c>
      <c r="F12" s="2">
        <v>0.537737421383648</v>
      </c>
      <c r="G12" s="2">
        <v>0.48799999999999999</v>
      </c>
    </row>
    <row r="13" spans="1:21">
      <c r="A13" s="5" t="s">
        <v>0</v>
      </c>
      <c r="B13" s="2">
        <v>1.8984000000000001</v>
      </c>
      <c r="C13" s="2">
        <v>1.7623509433962268</v>
      </c>
      <c r="D13" s="2">
        <v>1.6055999999999999</v>
      </c>
      <c r="E13" s="2">
        <v>0.55500000000000005</v>
      </c>
      <c r="F13" s="2">
        <v>0.52785849056603784</v>
      </c>
      <c r="G13" s="2">
        <v>0.48799999999999999</v>
      </c>
    </row>
    <row r="14" spans="1:21">
      <c r="A14" s="5" t="s">
        <v>1</v>
      </c>
      <c r="B14" s="2">
        <v>2.0958000000000001</v>
      </c>
      <c r="C14" s="2">
        <v>1.7513490566037735</v>
      </c>
      <c r="D14" s="2">
        <v>1.6236999999999999</v>
      </c>
      <c r="E14" s="2">
        <v>0.56699999999999995</v>
      </c>
      <c r="F14" s="2">
        <v>0.53553773584905662</v>
      </c>
      <c r="G14" s="2">
        <v>0.495</v>
      </c>
    </row>
    <row r="15" spans="1:21">
      <c r="A15" s="5" t="s">
        <v>2</v>
      </c>
      <c r="B15" s="2">
        <v>1.9414</v>
      </c>
      <c r="C15" s="2">
        <v>1.7464943396226416</v>
      </c>
      <c r="D15" s="2">
        <v>1.6083000000000001</v>
      </c>
      <c r="E15" s="2">
        <v>0.56850000000000001</v>
      </c>
      <c r="F15" s="2">
        <v>0.5387547169811322</v>
      </c>
      <c r="G15" s="2">
        <v>0.504</v>
      </c>
    </row>
    <row r="16" spans="1:21">
      <c r="A16" s="5" t="s">
        <v>3</v>
      </c>
      <c r="B16" s="2">
        <v>1.9233</v>
      </c>
      <c r="C16" s="2">
        <v>1.7659622641509432</v>
      </c>
      <c r="D16" s="2">
        <v>1.5972999999999999</v>
      </c>
      <c r="E16" s="2">
        <v>0.57350000000000001</v>
      </c>
      <c r="F16" s="2">
        <v>0.53916981132075459</v>
      </c>
      <c r="G16" s="2">
        <v>0.51300000000000001</v>
      </c>
    </row>
    <row r="17" spans="1:7">
      <c r="A17" s="5" t="s">
        <v>4</v>
      </c>
      <c r="B17" s="2">
        <v>1.9830000000000001</v>
      </c>
      <c r="C17" s="2">
        <v>1.7693169811320748</v>
      </c>
      <c r="D17" s="2">
        <v>1.6259999999999999</v>
      </c>
      <c r="E17" s="2">
        <v>0.5605</v>
      </c>
      <c r="F17" s="2">
        <v>0.54160377358490575</v>
      </c>
      <c r="G17" s="2">
        <v>0.50349999999999995</v>
      </c>
    </row>
    <row r="18" spans="1:7">
      <c r="A18" s="5" t="s">
        <v>5</v>
      </c>
      <c r="B18" s="2">
        <v>2.0055999999999998</v>
      </c>
      <c r="C18" s="2">
        <v>1.7847283018867923</v>
      </c>
      <c r="D18" s="2">
        <v>1.6245000000000001</v>
      </c>
      <c r="E18" s="2">
        <v>0.56799999999999995</v>
      </c>
      <c r="F18" s="2">
        <v>0.54349999999999976</v>
      </c>
      <c r="G18" s="2">
        <v>0.50149999999999995</v>
      </c>
    </row>
    <row r="19" spans="1:7">
      <c r="A19" s="4" t="s">
        <v>8</v>
      </c>
      <c r="B19" s="2">
        <v>2.6053000000000002</v>
      </c>
      <c r="C19" s="2">
        <v>1.9618523364485969</v>
      </c>
      <c r="D19" s="2">
        <v>1.5972999999999999</v>
      </c>
      <c r="E19" s="2">
        <v>0.57350000000000001</v>
      </c>
      <c r="F19" s="2">
        <v>0.52989330218068509</v>
      </c>
      <c r="G19" s="2">
        <v>0.47149999999999997</v>
      </c>
    </row>
  </sheetData>
  <pageMargins left="0.75" right="0.75" top="1" bottom="1" header="0.5" footer="0.5"/>
  <pageSetup orientation="portrait" horizontalDpi="4294967292" verticalDpi="4294967292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6"/>
  <sheetViews>
    <sheetView tabSelected="1" topLeftCell="A15" zoomScale="125" zoomScaleNormal="125" zoomScalePageLayoutView="125" workbookViewId="0">
      <selection activeCell="A27" sqref="A27"/>
    </sheetView>
  </sheetViews>
  <sheetFormatPr baseColWidth="10" defaultRowHeight="15" x14ac:dyDescent="0"/>
  <cols>
    <col min="1" max="1" width="12.83203125" customWidth="1"/>
    <col min="2" max="2" width="16" customWidth="1"/>
    <col min="3" max="3" width="15" bestFit="1" customWidth="1"/>
    <col min="4" max="4" width="50.33203125" style="9" customWidth="1"/>
    <col min="5" max="5" width="35.33203125" customWidth="1"/>
  </cols>
  <sheetData>
    <row r="1" spans="1:10" s="12" customFormat="1">
      <c r="A1" s="12" t="s">
        <v>545</v>
      </c>
      <c r="B1" s="12" t="s">
        <v>550</v>
      </c>
      <c r="C1" s="12" t="s">
        <v>543</v>
      </c>
      <c r="D1" s="14" t="s">
        <v>544</v>
      </c>
    </row>
    <row r="2" spans="1:10" ht="36" customHeight="1">
      <c r="A2" s="9" t="s">
        <v>530</v>
      </c>
      <c r="B2" s="15" t="s">
        <v>551</v>
      </c>
      <c r="C2" s="32">
        <v>1</v>
      </c>
      <c r="D2" s="9" t="s">
        <v>546</v>
      </c>
      <c r="E2" s="9" t="s">
        <v>791</v>
      </c>
    </row>
    <row r="3" spans="1:10" ht="36" customHeight="1">
      <c r="A3" s="9" t="s">
        <v>549</v>
      </c>
      <c r="B3" s="15" t="s">
        <v>547</v>
      </c>
      <c r="C3" s="33">
        <v>0.9</v>
      </c>
      <c r="D3" s="9" t="s">
        <v>554</v>
      </c>
    </row>
    <row r="4" spans="1:10" ht="36" customHeight="1">
      <c r="A4" s="9" t="s">
        <v>540</v>
      </c>
      <c r="B4" s="15" t="b">
        <v>0</v>
      </c>
      <c r="C4" s="33">
        <v>1</v>
      </c>
      <c r="D4" s="9" t="s">
        <v>542</v>
      </c>
    </row>
    <row r="5" spans="1:10" ht="36" customHeight="1">
      <c r="A5" s="9" t="s">
        <v>529</v>
      </c>
      <c r="B5" s="15">
        <v>256</v>
      </c>
      <c r="C5" s="31">
        <v>0.9</v>
      </c>
      <c r="D5" s="9" t="s">
        <v>870</v>
      </c>
    </row>
    <row r="6" spans="1:10" ht="36" customHeight="1">
      <c r="A6" s="9" t="s">
        <v>552</v>
      </c>
      <c r="B6" s="15">
        <v>0.5</v>
      </c>
      <c r="C6" s="31">
        <v>0.8</v>
      </c>
      <c r="D6" s="9" t="s">
        <v>555</v>
      </c>
      <c r="E6" t="s">
        <v>792</v>
      </c>
    </row>
    <row r="7" spans="1:10" ht="36" customHeight="1">
      <c r="A7" s="9" t="s">
        <v>538</v>
      </c>
      <c r="B7" s="15" t="s">
        <v>556</v>
      </c>
      <c r="C7" s="31">
        <v>1</v>
      </c>
      <c r="D7" s="9" t="s">
        <v>869</v>
      </c>
    </row>
    <row r="8" spans="1:10" ht="36" customHeight="1">
      <c r="D8" s="34" t="s">
        <v>804</v>
      </c>
    </row>
    <row r="9" spans="1:10">
      <c r="A9" t="s">
        <v>793</v>
      </c>
      <c r="B9" s="11" t="s">
        <v>803</v>
      </c>
      <c r="C9" s="11"/>
      <c r="D9" s="9" t="s">
        <v>805</v>
      </c>
    </row>
    <row r="10" spans="1:10">
      <c r="A10" s="11" t="s">
        <v>794</v>
      </c>
      <c r="B10" s="11" t="s">
        <v>806</v>
      </c>
      <c r="C10" s="11"/>
      <c r="D10" s="11" t="s">
        <v>809</v>
      </c>
      <c r="F10" s="11"/>
      <c r="G10" s="11"/>
      <c r="H10" s="11"/>
      <c r="I10" s="11"/>
      <c r="J10" s="11"/>
    </row>
    <row r="11" spans="1:10">
      <c r="A11" t="s">
        <v>795</v>
      </c>
      <c r="B11" s="11" t="s">
        <v>807</v>
      </c>
      <c r="D11" s="9" t="s">
        <v>808</v>
      </c>
    </row>
    <row r="12" spans="1:10">
      <c r="A12" s="35" t="s">
        <v>796</v>
      </c>
      <c r="B12" s="11" t="s">
        <v>810</v>
      </c>
      <c r="D12" s="9" t="s">
        <v>811</v>
      </c>
    </row>
    <row r="13" spans="1:10">
      <c r="A13" t="s">
        <v>797</v>
      </c>
      <c r="B13" s="11" t="s">
        <v>812</v>
      </c>
      <c r="D13" s="9" t="s">
        <v>813</v>
      </c>
      <c r="E13" s="1"/>
    </row>
    <row r="14" spans="1:10">
      <c r="A14" s="11" t="s">
        <v>798</v>
      </c>
      <c r="B14" s="11" t="s">
        <v>814</v>
      </c>
      <c r="D14" s="9" t="s">
        <v>815</v>
      </c>
    </row>
    <row r="15" spans="1:10">
      <c r="A15" t="s">
        <v>799</v>
      </c>
      <c r="B15" s="11" t="s">
        <v>817</v>
      </c>
      <c r="D15" s="9" t="s">
        <v>816</v>
      </c>
    </row>
    <row r="16" spans="1:10">
      <c r="A16" s="11" t="s">
        <v>800</v>
      </c>
      <c r="B16" s="11" t="s">
        <v>819</v>
      </c>
      <c r="D16" s="9" t="s">
        <v>818</v>
      </c>
    </row>
    <row r="17" spans="1:4">
      <c r="A17" t="s">
        <v>801</v>
      </c>
      <c r="B17" s="11" t="s">
        <v>820</v>
      </c>
      <c r="D17" s="9" t="s">
        <v>821</v>
      </c>
    </row>
    <row r="18" spans="1:4">
      <c r="A18" s="11" t="s">
        <v>802</v>
      </c>
      <c r="B18" s="11" t="s">
        <v>822</v>
      </c>
      <c r="D18" s="9" t="s">
        <v>823</v>
      </c>
    </row>
    <row r="19" spans="1:4">
      <c r="D19"/>
    </row>
    <row r="20" spans="1:4">
      <c r="D20"/>
    </row>
    <row r="26" spans="1:4">
      <c r="A26" t="s">
        <v>871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H648"/>
  <sheetViews>
    <sheetView topLeftCell="A415" workbookViewId="0">
      <selection activeCell="H446" sqref="H446"/>
    </sheetView>
  </sheetViews>
  <sheetFormatPr baseColWidth="10" defaultRowHeight="15" x14ac:dyDescent="0"/>
  <sheetData>
    <row r="1" spans="1:8">
      <c r="A1" t="s">
        <v>24</v>
      </c>
      <c r="G1">
        <v>72</v>
      </c>
      <c r="H1" t="s">
        <v>784</v>
      </c>
    </row>
    <row r="2" spans="1:8">
      <c r="A2" t="s">
        <v>25</v>
      </c>
      <c r="G2">
        <v>36</v>
      </c>
      <c r="H2" t="s">
        <v>785</v>
      </c>
    </row>
    <row r="3" spans="1:8">
      <c r="A3" t="s">
        <v>26</v>
      </c>
      <c r="G3" s="19">
        <v>6</v>
      </c>
      <c r="H3" s="19" t="s">
        <v>783</v>
      </c>
    </row>
    <row r="4" spans="1:8">
      <c r="A4" t="s">
        <v>27</v>
      </c>
      <c r="G4">
        <f>(G1+G2)*G3</f>
        <v>648</v>
      </c>
      <c r="H4" t="s">
        <v>786</v>
      </c>
    </row>
    <row r="5" spans="1:8">
      <c r="A5" t="s">
        <v>28</v>
      </c>
    </row>
    <row r="6" spans="1:8">
      <c r="A6" t="s">
        <v>29</v>
      </c>
    </row>
    <row r="7" spans="1:8">
      <c r="A7" t="s">
        <v>30</v>
      </c>
    </row>
    <row r="8" spans="1:8">
      <c r="A8" t="s">
        <v>31</v>
      </c>
    </row>
    <row r="9" spans="1:8">
      <c r="A9" t="s">
        <v>32</v>
      </c>
    </row>
    <row r="10" spans="1:8">
      <c r="A10" t="s">
        <v>33</v>
      </c>
    </row>
    <row r="11" spans="1:8">
      <c r="A11" t="s">
        <v>34</v>
      </c>
    </row>
    <row r="12" spans="1:8">
      <c r="A12" t="s">
        <v>35</v>
      </c>
    </row>
    <row r="13" spans="1:8">
      <c r="A13" t="s">
        <v>36</v>
      </c>
    </row>
    <row r="14" spans="1:8">
      <c r="A14" t="s">
        <v>37</v>
      </c>
    </row>
    <row r="15" spans="1:8">
      <c r="A15" t="s">
        <v>38</v>
      </c>
    </row>
    <row r="16" spans="1:8">
      <c r="A16" t="s">
        <v>39</v>
      </c>
    </row>
    <row r="17" spans="1:1">
      <c r="A17" t="s">
        <v>40</v>
      </c>
    </row>
    <row r="18" spans="1:1">
      <c r="A18" t="s">
        <v>41</v>
      </c>
    </row>
    <row r="19" spans="1:1">
      <c r="A19" t="s">
        <v>42</v>
      </c>
    </row>
    <row r="20" spans="1:1">
      <c r="A20" t="s">
        <v>43</v>
      </c>
    </row>
    <row r="21" spans="1:1">
      <c r="A21" t="s">
        <v>44</v>
      </c>
    </row>
    <row r="22" spans="1:1">
      <c r="A22" t="s">
        <v>45</v>
      </c>
    </row>
    <row r="23" spans="1:1">
      <c r="A23" t="s">
        <v>46</v>
      </c>
    </row>
    <row r="24" spans="1:1">
      <c r="A24" t="s">
        <v>47</v>
      </c>
    </row>
    <row r="25" spans="1:1">
      <c r="A25" t="s">
        <v>48</v>
      </c>
    </row>
    <row r="26" spans="1:1">
      <c r="A26" t="s">
        <v>49</v>
      </c>
    </row>
    <row r="27" spans="1:1">
      <c r="A27" t="s">
        <v>50</v>
      </c>
    </row>
    <row r="28" spans="1:1">
      <c r="A28" t="s">
        <v>51</v>
      </c>
    </row>
    <row r="29" spans="1:1">
      <c r="A29" t="s">
        <v>52</v>
      </c>
    </row>
    <row r="30" spans="1:1">
      <c r="A30" t="s">
        <v>53</v>
      </c>
    </row>
    <row r="31" spans="1:1">
      <c r="A31" t="s">
        <v>54</v>
      </c>
    </row>
    <row r="32" spans="1:1">
      <c r="A32" t="s">
        <v>55</v>
      </c>
    </row>
    <row r="33" spans="1:1">
      <c r="A33" t="s">
        <v>56</v>
      </c>
    </row>
    <row r="34" spans="1:1">
      <c r="A34" t="s">
        <v>57</v>
      </c>
    </row>
    <row r="35" spans="1:1">
      <c r="A35" t="s">
        <v>58</v>
      </c>
    </row>
    <row r="36" spans="1:1">
      <c r="A36" t="s">
        <v>59</v>
      </c>
    </row>
    <row r="37" spans="1:1">
      <c r="A37" t="s">
        <v>60</v>
      </c>
    </row>
    <row r="38" spans="1:1">
      <c r="A38" t="s">
        <v>61</v>
      </c>
    </row>
    <row r="39" spans="1:1">
      <c r="A39" t="s">
        <v>62</v>
      </c>
    </row>
    <row r="40" spans="1:1">
      <c r="A40" t="s">
        <v>63</v>
      </c>
    </row>
    <row r="41" spans="1:1">
      <c r="A41" t="s">
        <v>64</v>
      </c>
    </row>
    <row r="42" spans="1:1">
      <c r="A42" t="s">
        <v>65</v>
      </c>
    </row>
    <row r="43" spans="1:1">
      <c r="A43" t="s">
        <v>66</v>
      </c>
    </row>
    <row r="44" spans="1:1">
      <c r="A44" t="s">
        <v>67</v>
      </c>
    </row>
    <row r="45" spans="1:1">
      <c r="A45" t="s">
        <v>68</v>
      </c>
    </row>
    <row r="46" spans="1:1">
      <c r="A46" t="s">
        <v>69</v>
      </c>
    </row>
    <row r="47" spans="1:1">
      <c r="A47" t="s">
        <v>70</v>
      </c>
    </row>
    <row r="48" spans="1:1">
      <c r="A48" t="s">
        <v>71</v>
      </c>
    </row>
    <row r="49" spans="1:1">
      <c r="A49" t="s">
        <v>72</v>
      </c>
    </row>
    <row r="50" spans="1:1">
      <c r="A50" t="s">
        <v>73</v>
      </c>
    </row>
    <row r="51" spans="1:1">
      <c r="A51" t="s">
        <v>74</v>
      </c>
    </row>
    <row r="52" spans="1:1">
      <c r="A52" t="s">
        <v>75</v>
      </c>
    </row>
    <row r="53" spans="1:1">
      <c r="A53" t="s">
        <v>76</v>
      </c>
    </row>
    <row r="54" spans="1:1">
      <c r="A54" t="s">
        <v>77</v>
      </c>
    </row>
    <row r="55" spans="1:1">
      <c r="A55" t="s">
        <v>78</v>
      </c>
    </row>
    <row r="56" spans="1:1">
      <c r="A56" t="s">
        <v>79</v>
      </c>
    </row>
    <row r="57" spans="1:1">
      <c r="A57" t="s">
        <v>80</v>
      </c>
    </row>
    <row r="58" spans="1:1">
      <c r="A58" t="s">
        <v>81</v>
      </c>
    </row>
    <row r="59" spans="1:1">
      <c r="A59" t="s">
        <v>82</v>
      </c>
    </row>
    <row r="60" spans="1:1">
      <c r="A60" t="s">
        <v>83</v>
      </c>
    </row>
    <row r="61" spans="1:1">
      <c r="A61" t="s">
        <v>84</v>
      </c>
    </row>
    <row r="62" spans="1:1">
      <c r="A62" t="s">
        <v>85</v>
      </c>
    </row>
    <row r="63" spans="1:1">
      <c r="A63" t="s">
        <v>86</v>
      </c>
    </row>
    <row r="64" spans="1:1">
      <c r="A64" t="s">
        <v>87</v>
      </c>
    </row>
    <row r="65" spans="1:1">
      <c r="A65" t="s">
        <v>88</v>
      </c>
    </row>
    <row r="66" spans="1:1">
      <c r="A66" t="s">
        <v>89</v>
      </c>
    </row>
    <row r="67" spans="1:1">
      <c r="A67" t="s">
        <v>90</v>
      </c>
    </row>
    <row r="68" spans="1:1">
      <c r="A68" t="s">
        <v>91</v>
      </c>
    </row>
    <row r="69" spans="1:1">
      <c r="A69" t="s">
        <v>92</v>
      </c>
    </row>
    <row r="70" spans="1:1">
      <c r="A70" t="s">
        <v>93</v>
      </c>
    </row>
    <row r="71" spans="1:1">
      <c r="A71" t="s">
        <v>94</v>
      </c>
    </row>
    <row r="72" spans="1:1">
      <c r="A72" t="s">
        <v>95</v>
      </c>
    </row>
    <row r="73" spans="1:1">
      <c r="A73" t="s">
        <v>96</v>
      </c>
    </row>
    <row r="74" spans="1:1">
      <c r="A74" t="s">
        <v>97</v>
      </c>
    </row>
    <row r="75" spans="1:1">
      <c r="A75" t="s">
        <v>98</v>
      </c>
    </row>
    <row r="76" spans="1:1">
      <c r="A76" t="s">
        <v>99</v>
      </c>
    </row>
    <row r="77" spans="1:1">
      <c r="A77" t="s">
        <v>100</v>
      </c>
    </row>
    <row r="78" spans="1:1">
      <c r="A78" t="s">
        <v>101</v>
      </c>
    </row>
    <row r="79" spans="1:1">
      <c r="A79" t="s">
        <v>102</v>
      </c>
    </row>
    <row r="80" spans="1:1">
      <c r="A80" t="s">
        <v>103</v>
      </c>
    </row>
    <row r="81" spans="1:1">
      <c r="A81" t="s">
        <v>104</v>
      </c>
    </row>
    <row r="82" spans="1:1">
      <c r="A82" t="s">
        <v>105</v>
      </c>
    </row>
    <row r="83" spans="1:1">
      <c r="A83" t="s">
        <v>106</v>
      </c>
    </row>
    <row r="84" spans="1:1">
      <c r="A84" t="s">
        <v>107</v>
      </c>
    </row>
    <row r="85" spans="1:1">
      <c r="A85" t="s">
        <v>108</v>
      </c>
    </row>
    <row r="86" spans="1:1">
      <c r="A86" t="s">
        <v>109</v>
      </c>
    </row>
    <row r="87" spans="1:1">
      <c r="A87" t="s">
        <v>110</v>
      </c>
    </row>
    <row r="88" spans="1:1">
      <c r="A88" t="s">
        <v>111</v>
      </c>
    </row>
    <row r="89" spans="1:1">
      <c r="A89" t="s">
        <v>112</v>
      </c>
    </row>
    <row r="90" spans="1:1">
      <c r="A90" t="s">
        <v>113</v>
      </c>
    </row>
    <row r="91" spans="1:1">
      <c r="A91" t="s">
        <v>114</v>
      </c>
    </row>
    <row r="92" spans="1:1">
      <c r="A92" t="s">
        <v>115</v>
      </c>
    </row>
    <row r="93" spans="1:1">
      <c r="A93" t="s">
        <v>116</v>
      </c>
    </row>
    <row r="94" spans="1:1">
      <c r="A94" t="s">
        <v>117</v>
      </c>
    </row>
    <row r="95" spans="1:1">
      <c r="A95" t="s">
        <v>118</v>
      </c>
    </row>
    <row r="96" spans="1:1">
      <c r="A96" t="s">
        <v>119</v>
      </c>
    </row>
    <row r="97" spans="1:1">
      <c r="A97" t="s">
        <v>120</v>
      </c>
    </row>
    <row r="98" spans="1:1">
      <c r="A98" t="s">
        <v>121</v>
      </c>
    </row>
    <row r="99" spans="1:1">
      <c r="A99" t="s">
        <v>122</v>
      </c>
    </row>
    <row r="100" spans="1:1">
      <c r="A100" t="s">
        <v>123</v>
      </c>
    </row>
    <row r="101" spans="1:1">
      <c r="A101" t="s">
        <v>124</v>
      </c>
    </row>
    <row r="102" spans="1:1">
      <c r="A102" t="s">
        <v>125</v>
      </c>
    </row>
    <row r="103" spans="1:1">
      <c r="A103" t="s">
        <v>126</v>
      </c>
    </row>
    <row r="104" spans="1:1">
      <c r="A104" t="s">
        <v>127</v>
      </c>
    </row>
    <row r="105" spans="1:1">
      <c r="A105" t="s">
        <v>128</v>
      </c>
    </row>
    <row r="106" spans="1:1">
      <c r="A106" t="s">
        <v>129</v>
      </c>
    </row>
    <row r="107" spans="1:1">
      <c r="A107" t="s">
        <v>130</v>
      </c>
    </row>
    <row r="108" spans="1:1">
      <c r="A108" t="s">
        <v>131</v>
      </c>
    </row>
    <row r="109" spans="1:1">
      <c r="A109" t="s">
        <v>132</v>
      </c>
    </row>
    <row r="110" spans="1:1">
      <c r="A110" t="s">
        <v>133</v>
      </c>
    </row>
    <row r="111" spans="1:1">
      <c r="A111" t="s">
        <v>134</v>
      </c>
    </row>
    <row r="112" spans="1:1">
      <c r="A112" t="s">
        <v>135</v>
      </c>
    </row>
    <row r="113" spans="1:1">
      <c r="A113" t="s">
        <v>136</v>
      </c>
    </row>
    <row r="114" spans="1:1">
      <c r="A114" t="s">
        <v>137</v>
      </c>
    </row>
    <row r="115" spans="1:1">
      <c r="A115" t="s">
        <v>138</v>
      </c>
    </row>
    <row r="116" spans="1:1">
      <c r="A116" t="s">
        <v>139</v>
      </c>
    </row>
    <row r="117" spans="1:1">
      <c r="A117" t="s">
        <v>140</v>
      </c>
    </row>
    <row r="118" spans="1:1">
      <c r="A118" t="s">
        <v>141</v>
      </c>
    </row>
    <row r="119" spans="1:1">
      <c r="A119" t="s">
        <v>142</v>
      </c>
    </row>
    <row r="120" spans="1:1">
      <c r="A120" t="s">
        <v>143</v>
      </c>
    </row>
    <row r="121" spans="1:1">
      <c r="A121" t="s">
        <v>144</v>
      </c>
    </row>
    <row r="122" spans="1:1">
      <c r="A122" t="s">
        <v>145</v>
      </c>
    </row>
    <row r="123" spans="1:1">
      <c r="A123" t="s">
        <v>146</v>
      </c>
    </row>
    <row r="124" spans="1:1">
      <c r="A124" t="s">
        <v>147</v>
      </c>
    </row>
    <row r="125" spans="1:1">
      <c r="A125" t="s">
        <v>148</v>
      </c>
    </row>
    <row r="126" spans="1:1">
      <c r="A126" t="s">
        <v>149</v>
      </c>
    </row>
    <row r="127" spans="1:1">
      <c r="A127" t="s">
        <v>150</v>
      </c>
    </row>
    <row r="128" spans="1:1">
      <c r="A128" t="s">
        <v>151</v>
      </c>
    </row>
    <row r="129" spans="1:1">
      <c r="A129" t="s">
        <v>152</v>
      </c>
    </row>
    <row r="130" spans="1:1">
      <c r="A130" t="s">
        <v>153</v>
      </c>
    </row>
    <row r="131" spans="1:1">
      <c r="A131" t="s">
        <v>154</v>
      </c>
    </row>
    <row r="132" spans="1:1">
      <c r="A132" t="s">
        <v>155</v>
      </c>
    </row>
    <row r="133" spans="1:1">
      <c r="A133" t="s">
        <v>156</v>
      </c>
    </row>
    <row r="134" spans="1:1">
      <c r="A134" t="s">
        <v>157</v>
      </c>
    </row>
    <row r="135" spans="1:1">
      <c r="A135" t="s">
        <v>158</v>
      </c>
    </row>
    <row r="136" spans="1:1">
      <c r="A136" t="s">
        <v>159</v>
      </c>
    </row>
    <row r="137" spans="1:1">
      <c r="A137" t="s">
        <v>160</v>
      </c>
    </row>
    <row r="138" spans="1:1">
      <c r="A138" t="s">
        <v>161</v>
      </c>
    </row>
    <row r="139" spans="1:1">
      <c r="A139" t="s">
        <v>162</v>
      </c>
    </row>
    <row r="140" spans="1:1">
      <c r="A140" t="s">
        <v>163</v>
      </c>
    </row>
    <row r="141" spans="1:1">
      <c r="A141" t="s">
        <v>164</v>
      </c>
    </row>
    <row r="142" spans="1:1">
      <c r="A142" t="s">
        <v>165</v>
      </c>
    </row>
    <row r="143" spans="1:1">
      <c r="A143" t="s">
        <v>166</v>
      </c>
    </row>
    <row r="144" spans="1:1">
      <c r="A144" t="s">
        <v>167</v>
      </c>
    </row>
    <row r="145" spans="1:1">
      <c r="A145" t="s">
        <v>168</v>
      </c>
    </row>
    <row r="146" spans="1:1">
      <c r="A146" t="s">
        <v>169</v>
      </c>
    </row>
    <row r="147" spans="1:1">
      <c r="A147" t="s">
        <v>170</v>
      </c>
    </row>
    <row r="148" spans="1:1">
      <c r="A148" t="s">
        <v>171</v>
      </c>
    </row>
    <row r="149" spans="1:1">
      <c r="A149" t="s">
        <v>172</v>
      </c>
    </row>
    <row r="150" spans="1:1">
      <c r="A150" t="s">
        <v>173</v>
      </c>
    </row>
    <row r="151" spans="1:1">
      <c r="A151" t="s">
        <v>174</v>
      </c>
    </row>
    <row r="152" spans="1:1">
      <c r="A152" t="s">
        <v>175</v>
      </c>
    </row>
    <row r="153" spans="1:1">
      <c r="A153" t="s">
        <v>176</v>
      </c>
    </row>
    <row r="154" spans="1:1">
      <c r="A154" t="s">
        <v>177</v>
      </c>
    </row>
    <row r="155" spans="1:1">
      <c r="A155" t="s">
        <v>178</v>
      </c>
    </row>
    <row r="156" spans="1:1">
      <c r="A156" t="s">
        <v>179</v>
      </c>
    </row>
    <row r="157" spans="1:1">
      <c r="A157" t="s">
        <v>180</v>
      </c>
    </row>
    <row r="158" spans="1:1">
      <c r="A158" t="s">
        <v>181</v>
      </c>
    </row>
    <row r="159" spans="1:1">
      <c r="A159" t="s">
        <v>182</v>
      </c>
    </row>
    <row r="160" spans="1:1">
      <c r="A160" t="s">
        <v>183</v>
      </c>
    </row>
    <row r="161" spans="1:1">
      <c r="A161" t="s">
        <v>184</v>
      </c>
    </row>
    <row r="162" spans="1:1">
      <c r="A162" t="s">
        <v>185</v>
      </c>
    </row>
    <row r="163" spans="1:1">
      <c r="A163" t="s">
        <v>186</v>
      </c>
    </row>
    <row r="164" spans="1:1">
      <c r="A164" t="s">
        <v>187</v>
      </c>
    </row>
    <row r="165" spans="1:1">
      <c r="A165" t="s">
        <v>188</v>
      </c>
    </row>
    <row r="166" spans="1:1">
      <c r="A166" t="s">
        <v>189</v>
      </c>
    </row>
    <row r="167" spans="1:1">
      <c r="A167" t="s">
        <v>190</v>
      </c>
    </row>
    <row r="168" spans="1:1">
      <c r="A168" t="s">
        <v>191</v>
      </c>
    </row>
    <row r="169" spans="1:1">
      <c r="A169" t="s">
        <v>192</v>
      </c>
    </row>
    <row r="170" spans="1:1">
      <c r="A170" t="s">
        <v>193</v>
      </c>
    </row>
    <row r="171" spans="1:1">
      <c r="A171" t="s">
        <v>194</v>
      </c>
    </row>
    <row r="172" spans="1:1">
      <c r="A172" t="s">
        <v>195</v>
      </c>
    </row>
    <row r="173" spans="1:1">
      <c r="A173" t="s">
        <v>196</v>
      </c>
    </row>
    <row r="174" spans="1:1">
      <c r="A174" t="s">
        <v>197</v>
      </c>
    </row>
    <row r="175" spans="1:1">
      <c r="A175" t="s">
        <v>198</v>
      </c>
    </row>
    <row r="176" spans="1:1">
      <c r="A176" t="s">
        <v>199</v>
      </c>
    </row>
    <row r="177" spans="1:1">
      <c r="A177" t="s">
        <v>200</v>
      </c>
    </row>
    <row r="178" spans="1:1">
      <c r="A178" t="s">
        <v>201</v>
      </c>
    </row>
    <row r="179" spans="1:1">
      <c r="A179" t="s">
        <v>202</v>
      </c>
    </row>
    <row r="180" spans="1:1">
      <c r="A180" t="s">
        <v>203</v>
      </c>
    </row>
    <row r="181" spans="1:1">
      <c r="A181" t="s">
        <v>204</v>
      </c>
    </row>
    <row r="182" spans="1:1">
      <c r="A182" t="s">
        <v>205</v>
      </c>
    </row>
    <row r="183" spans="1:1">
      <c r="A183" t="s">
        <v>206</v>
      </c>
    </row>
    <row r="184" spans="1:1">
      <c r="A184" t="s">
        <v>207</v>
      </c>
    </row>
    <row r="185" spans="1:1">
      <c r="A185" t="s">
        <v>208</v>
      </c>
    </row>
    <row r="186" spans="1:1">
      <c r="A186" t="s">
        <v>209</v>
      </c>
    </row>
    <row r="187" spans="1:1">
      <c r="A187" t="s">
        <v>210</v>
      </c>
    </row>
    <row r="188" spans="1:1">
      <c r="A188" t="s">
        <v>211</v>
      </c>
    </row>
    <row r="189" spans="1:1">
      <c r="A189" t="s">
        <v>212</v>
      </c>
    </row>
    <row r="190" spans="1:1">
      <c r="A190" t="s">
        <v>213</v>
      </c>
    </row>
    <row r="191" spans="1:1">
      <c r="A191" t="s">
        <v>214</v>
      </c>
    </row>
    <row r="192" spans="1:1">
      <c r="A192" t="s">
        <v>215</v>
      </c>
    </row>
    <row r="193" spans="1:1">
      <c r="A193" t="s">
        <v>216</v>
      </c>
    </row>
    <row r="194" spans="1:1">
      <c r="A194" t="s">
        <v>217</v>
      </c>
    </row>
    <row r="195" spans="1:1">
      <c r="A195" t="s">
        <v>218</v>
      </c>
    </row>
    <row r="196" spans="1:1">
      <c r="A196" t="s">
        <v>219</v>
      </c>
    </row>
    <row r="197" spans="1:1">
      <c r="A197" t="s">
        <v>220</v>
      </c>
    </row>
    <row r="198" spans="1:1">
      <c r="A198" t="s">
        <v>221</v>
      </c>
    </row>
    <row r="199" spans="1:1">
      <c r="A199" t="s">
        <v>222</v>
      </c>
    </row>
    <row r="200" spans="1:1">
      <c r="A200" t="s">
        <v>223</v>
      </c>
    </row>
    <row r="201" spans="1:1">
      <c r="A201" t="s">
        <v>224</v>
      </c>
    </row>
    <row r="202" spans="1:1">
      <c r="A202" t="s">
        <v>225</v>
      </c>
    </row>
    <row r="203" spans="1:1">
      <c r="A203" t="s">
        <v>226</v>
      </c>
    </row>
    <row r="204" spans="1:1">
      <c r="A204" t="s">
        <v>227</v>
      </c>
    </row>
    <row r="205" spans="1:1">
      <c r="A205" t="s">
        <v>228</v>
      </c>
    </row>
    <row r="206" spans="1:1">
      <c r="A206" t="s">
        <v>229</v>
      </c>
    </row>
    <row r="207" spans="1:1">
      <c r="A207" t="s">
        <v>230</v>
      </c>
    </row>
    <row r="208" spans="1:1">
      <c r="A208" t="s">
        <v>231</v>
      </c>
    </row>
    <row r="209" spans="1:1">
      <c r="A209" t="s">
        <v>232</v>
      </c>
    </row>
    <row r="210" spans="1:1">
      <c r="A210" t="s">
        <v>233</v>
      </c>
    </row>
    <row r="211" spans="1:1">
      <c r="A211" t="s">
        <v>234</v>
      </c>
    </row>
    <row r="212" spans="1:1">
      <c r="A212" t="s">
        <v>235</v>
      </c>
    </row>
    <row r="213" spans="1:1">
      <c r="A213" t="s">
        <v>236</v>
      </c>
    </row>
    <row r="214" spans="1:1">
      <c r="A214" t="s">
        <v>237</v>
      </c>
    </row>
    <row r="215" spans="1:1">
      <c r="A215" t="s">
        <v>238</v>
      </c>
    </row>
    <row r="216" spans="1:1">
      <c r="A216" t="s">
        <v>239</v>
      </c>
    </row>
    <row r="217" spans="1:1">
      <c r="A217" t="s">
        <v>240</v>
      </c>
    </row>
    <row r="218" spans="1:1">
      <c r="A218" t="s">
        <v>241</v>
      </c>
    </row>
    <row r="219" spans="1:1">
      <c r="A219" t="s">
        <v>242</v>
      </c>
    </row>
    <row r="220" spans="1:1">
      <c r="A220" t="s">
        <v>243</v>
      </c>
    </row>
    <row r="221" spans="1:1">
      <c r="A221" t="s">
        <v>244</v>
      </c>
    </row>
    <row r="222" spans="1:1">
      <c r="A222" t="s">
        <v>245</v>
      </c>
    </row>
    <row r="223" spans="1:1">
      <c r="A223" t="s">
        <v>246</v>
      </c>
    </row>
    <row r="224" spans="1:1">
      <c r="A224" t="s">
        <v>247</v>
      </c>
    </row>
    <row r="225" spans="1:1">
      <c r="A225" t="s">
        <v>248</v>
      </c>
    </row>
    <row r="226" spans="1:1">
      <c r="A226" t="s">
        <v>249</v>
      </c>
    </row>
    <row r="227" spans="1:1">
      <c r="A227" t="s">
        <v>250</v>
      </c>
    </row>
    <row r="228" spans="1:1">
      <c r="A228" t="s">
        <v>251</v>
      </c>
    </row>
    <row r="229" spans="1:1">
      <c r="A229" t="s">
        <v>252</v>
      </c>
    </row>
    <row r="230" spans="1:1">
      <c r="A230" t="s">
        <v>253</v>
      </c>
    </row>
    <row r="231" spans="1:1">
      <c r="A231" t="s">
        <v>254</v>
      </c>
    </row>
    <row r="232" spans="1:1">
      <c r="A232" t="s">
        <v>255</v>
      </c>
    </row>
    <row r="233" spans="1:1">
      <c r="A233" t="s">
        <v>256</v>
      </c>
    </row>
    <row r="234" spans="1:1">
      <c r="A234" t="s">
        <v>257</v>
      </c>
    </row>
    <row r="235" spans="1:1">
      <c r="A235" t="s">
        <v>258</v>
      </c>
    </row>
    <row r="236" spans="1:1">
      <c r="A236" t="s">
        <v>259</v>
      </c>
    </row>
    <row r="237" spans="1:1">
      <c r="A237" t="s">
        <v>260</v>
      </c>
    </row>
    <row r="238" spans="1:1">
      <c r="A238" t="s">
        <v>261</v>
      </c>
    </row>
    <row r="239" spans="1:1">
      <c r="A239" t="s">
        <v>262</v>
      </c>
    </row>
    <row r="240" spans="1:1">
      <c r="A240" t="s">
        <v>263</v>
      </c>
    </row>
    <row r="241" spans="1:1">
      <c r="A241" t="s">
        <v>264</v>
      </c>
    </row>
    <row r="242" spans="1:1">
      <c r="A242" t="s">
        <v>265</v>
      </c>
    </row>
    <row r="243" spans="1:1">
      <c r="A243" t="s">
        <v>266</v>
      </c>
    </row>
    <row r="244" spans="1:1">
      <c r="A244" t="s">
        <v>267</v>
      </c>
    </row>
    <row r="245" spans="1:1">
      <c r="A245" t="s">
        <v>268</v>
      </c>
    </row>
    <row r="246" spans="1:1">
      <c r="A246" t="s">
        <v>269</v>
      </c>
    </row>
    <row r="247" spans="1:1">
      <c r="A247" t="s">
        <v>270</v>
      </c>
    </row>
    <row r="248" spans="1:1">
      <c r="A248" t="s">
        <v>271</v>
      </c>
    </row>
    <row r="249" spans="1:1">
      <c r="A249" t="s">
        <v>272</v>
      </c>
    </row>
    <row r="250" spans="1:1">
      <c r="A250" t="s">
        <v>273</v>
      </c>
    </row>
    <row r="251" spans="1:1">
      <c r="A251" t="s">
        <v>274</v>
      </c>
    </row>
    <row r="252" spans="1:1">
      <c r="A252" t="s">
        <v>275</v>
      </c>
    </row>
    <row r="253" spans="1:1">
      <c r="A253" t="s">
        <v>276</v>
      </c>
    </row>
    <row r="254" spans="1:1">
      <c r="A254" t="s">
        <v>277</v>
      </c>
    </row>
    <row r="255" spans="1:1">
      <c r="A255" t="s">
        <v>278</v>
      </c>
    </row>
    <row r="256" spans="1:1">
      <c r="A256" t="s">
        <v>279</v>
      </c>
    </row>
    <row r="257" spans="1:1">
      <c r="A257" t="s">
        <v>280</v>
      </c>
    </row>
    <row r="258" spans="1:1">
      <c r="A258" t="s">
        <v>281</v>
      </c>
    </row>
    <row r="259" spans="1:1">
      <c r="A259" t="s">
        <v>282</v>
      </c>
    </row>
    <row r="260" spans="1:1">
      <c r="A260" t="s">
        <v>283</v>
      </c>
    </row>
    <row r="261" spans="1:1">
      <c r="A261" t="s">
        <v>284</v>
      </c>
    </row>
    <row r="262" spans="1:1">
      <c r="A262" t="s">
        <v>285</v>
      </c>
    </row>
    <row r="263" spans="1:1">
      <c r="A263" t="s">
        <v>286</v>
      </c>
    </row>
    <row r="264" spans="1:1">
      <c r="A264" t="s">
        <v>287</v>
      </c>
    </row>
    <row r="265" spans="1:1">
      <c r="A265" t="s">
        <v>288</v>
      </c>
    </row>
    <row r="266" spans="1:1">
      <c r="A266" t="s">
        <v>289</v>
      </c>
    </row>
    <row r="267" spans="1:1">
      <c r="A267" t="s">
        <v>290</v>
      </c>
    </row>
    <row r="268" spans="1:1">
      <c r="A268" t="s">
        <v>291</v>
      </c>
    </row>
    <row r="269" spans="1:1">
      <c r="A269" t="s">
        <v>292</v>
      </c>
    </row>
    <row r="270" spans="1:1">
      <c r="A270" t="s">
        <v>293</v>
      </c>
    </row>
    <row r="271" spans="1:1">
      <c r="A271" t="s">
        <v>294</v>
      </c>
    </row>
    <row r="272" spans="1:1">
      <c r="A272" t="s">
        <v>295</v>
      </c>
    </row>
    <row r="273" spans="1:1">
      <c r="A273" t="s">
        <v>296</v>
      </c>
    </row>
    <row r="274" spans="1:1">
      <c r="A274" t="s">
        <v>297</v>
      </c>
    </row>
    <row r="275" spans="1:1">
      <c r="A275" t="s">
        <v>298</v>
      </c>
    </row>
    <row r="276" spans="1:1">
      <c r="A276" t="s">
        <v>299</v>
      </c>
    </row>
    <row r="277" spans="1:1">
      <c r="A277" t="s">
        <v>300</v>
      </c>
    </row>
    <row r="278" spans="1:1">
      <c r="A278" t="s">
        <v>301</v>
      </c>
    </row>
    <row r="279" spans="1:1">
      <c r="A279" t="s">
        <v>302</v>
      </c>
    </row>
    <row r="280" spans="1:1">
      <c r="A280" t="s">
        <v>303</v>
      </c>
    </row>
    <row r="281" spans="1:1">
      <c r="A281" t="s">
        <v>304</v>
      </c>
    </row>
    <row r="282" spans="1:1">
      <c r="A282" t="s">
        <v>305</v>
      </c>
    </row>
    <row r="283" spans="1:1">
      <c r="A283" t="s">
        <v>306</v>
      </c>
    </row>
    <row r="284" spans="1:1">
      <c r="A284" t="s">
        <v>307</v>
      </c>
    </row>
    <row r="285" spans="1:1">
      <c r="A285" t="s">
        <v>308</v>
      </c>
    </row>
    <row r="286" spans="1:1">
      <c r="A286" t="s">
        <v>309</v>
      </c>
    </row>
    <row r="287" spans="1:1">
      <c r="A287" t="s">
        <v>310</v>
      </c>
    </row>
    <row r="288" spans="1:1">
      <c r="A288" t="s">
        <v>311</v>
      </c>
    </row>
    <row r="289" spans="1:1">
      <c r="A289" t="s">
        <v>312</v>
      </c>
    </row>
    <row r="290" spans="1:1">
      <c r="A290" t="s">
        <v>313</v>
      </c>
    </row>
    <row r="291" spans="1:1">
      <c r="A291" t="s">
        <v>314</v>
      </c>
    </row>
    <row r="292" spans="1:1">
      <c r="A292" t="s">
        <v>315</v>
      </c>
    </row>
    <row r="293" spans="1:1">
      <c r="A293" t="s">
        <v>316</v>
      </c>
    </row>
    <row r="294" spans="1:1">
      <c r="A294" t="s">
        <v>317</v>
      </c>
    </row>
    <row r="295" spans="1:1">
      <c r="A295" t="s">
        <v>318</v>
      </c>
    </row>
    <row r="296" spans="1:1">
      <c r="A296" t="s">
        <v>319</v>
      </c>
    </row>
    <row r="297" spans="1:1">
      <c r="A297" t="s">
        <v>320</v>
      </c>
    </row>
    <row r="298" spans="1:1">
      <c r="A298" t="s">
        <v>321</v>
      </c>
    </row>
    <row r="299" spans="1:1">
      <c r="A299" t="s">
        <v>322</v>
      </c>
    </row>
    <row r="300" spans="1:1">
      <c r="A300" t="s">
        <v>323</v>
      </c>
    </row>
    <row r="301" spans="1:1">
      <c r="A301" t="s">
        <v>324</v>
      </c>
    </row>
    <row r="302" spans="1:1">
      <c r="A302" t="s">
        <v>325</v>
      </c>
    </row>
    <row r="303" spans="1:1">
      <c r="A303" t="s">
        <v>326</v>
      </c>
    </row>
    <row r="304" spans="1:1">
      <c r="A304" t="s">
        <v>327</v>
      </c>
    </row>
    <row r="305" spans="1:1">
      <c r="A305" t="s">
        <v>328</v>
      </c>
    </row>
    <row r="306" spans="1:1">
      <c r="A306" t="s">
        <v>329</v>
      </c>
    </row>
    <row r="307" spans="1:1">
      <c r="A307" t="s">
        <v>330</v>
      </c>
    </row>
    <row r="308" spans="1:1">
      <c r="A308" t="s">
        <v>331</v>
      </c>
    </row>
    <row r="309" spans="1:1">
      <c r="A309" t="s">
        <v>332</v>
      </c>
    </row>
    <row r="310" spans="1:1">
      <c r="A310" t="s">
        <v>333</v>
      </c>
    </row>
    <row r="311" spans="1:1">
      <c r="A311" t="s">
        <v>334</v>
      </c>
    </row>
    <row r="312" spans="1:1">
      <c r="A312" t="s">
        <v>335</v>
      </c>
    </row>
    <row r="313" spans="1:1">
      <c r="A313" t="s">
        <v>336</v>
      </c>
    </row>
    <row r="314" spans="1:1">
      <c r="A314" t="s">
        <v>337</v>
      </c>
    </row>
    <row r="315" spans="1:1">
      <c r="A315" t="s">
        <v>338</v>
      </c>
    </row>
    <row r="316" spans="1:1">
      <c r="A316" t="s">
        <v>339</v>
      </c>
    </row>
    <row r="317" spans="1:1">
      <c r="A317" t="s">
        <v>340</v>
      </c>
    </row>
    <row r="318" spans="1:1">
      <c r="A318" t="s">
        <v>341</v>
      </c>
    </row>
    <row r="319" spans="1:1">
      <c r="A319" t="s">
        <v>342</v>
      </c>
    </row>
    <row r="320" spans="1:1">
      <c r="A320" t="s">
        <v>343</v>
      </c>
    </row>
    <row r="321" spans="1:1">
      <c r="A321" t="s">
        <v>344</v>
      </c>
    </row>
    <row r="322" spans="1:1">
      <c r="A322" t="s">
        <v>345</v>
      </c>
    </row>
    <row r="323" spans="1:1">
      <c r="A323" t="s">
        <v>346</v>
      </c>
    </row>
    <row r="324" spans="1:1">
      <c r="A324" t="s">
        <v>347</v>
      </c>
    </row>
    <row r="325" spans="1:1">
      <c r="A325" t="s">
        <v>348</v>
      </c>
    </row>
    <row r="326" spans="1:1">
      <c r="A326" t="s">
        <v>349</v>
      </c>
    </row>
    <row r="327" spans="1:1">
      <c r="A327" t="s">
        <v>350</v>
      </c>
    </row>
    <row r="328" spans="1:1">
      <c r="A328" t="s">
        <v>351</v>
      </c>
    </row>
    <row r="329" spans="1:1">
      <c r="A329" t="s">
        <v>352</v>
      </c>
    </row>
    <row r="330" spans="1:1">
      <c r="A330" t="s">
        <v>353</v>
      </c>
    </row>
    <row r="331" spans="1:1">
      <c r="A331" t="s">
        <v>354</v>
      </c>
    </row>
    <row r="332" spans="1:1">
      <c r="A332" t="s">
        <v>355</v>
      </c>
    </row>
    <row r="333" spans="1:1">
      <c r="A333" t="s">
        <v>356</v>
      </c>
    </row>
    <row r="334" spans="1:1">
      <c r="A334" t="s">
        <v>357</v>
      </c>
    </row>
    <row r="335" spans="1:1">
      <c r="A335" t="s">
        <v>358</v>
      </c>
    </row>
    <row r="336" spans="1:1">
      <c r="A336" t="s">
        <v>359</v>
      </c>
    </row>
    <row r="337" spans="1:1">
      <c r="A337" t="s">
        <v>360</v>
      </c>
    </row>
    <row r="338" spans="1:1">
      <c r="A338" t="s">
        <v>361</v>
      </c>
    </row>
    <row r="339" spans="1:1">
      <c r="A339" t="s">
        <v>362</v>
      </c>
    </row>
    <row r="340" spans="1:1">
      <c r="A340" t="s">
        <v>363</v>
      </c>
    </row>
    <row r="341" spans="1:1">
      <c r="A341" t="s">
        <v>364</v>
      </c>
    </row>
    <row r="342" spans="1:1">
      <c r="A342" t="s">
        <v>365</v>
      </c>
    </row>
    <row r="343" spans="1:1">
      <c r="A343" t="s">
        <v>366</v>
      </c>
    </row>
    <row r="344" spans="1:1">
      <c r="A344" t="s">
        <v>367</v>
      </c>
    </row>
    <row r="345" spans="1:1">
      <c r="A345" t="s">
        <v>368</v>
      </c>
    </row>
    <row r="346" spans="1:1">
      <c r="A346" t="s">
        <v>369</v>
      </c>
    </row>
    <row r="347" spans="1:1">
      <c r="A347" t="s">
        <v>370</v>
      </c>
    </row>
    <row r="348" spans="1:1">
      <c r="A348" t="s">
        <v>371</v>
      </c>
    </row>
    <row r="349" spans="1:1">
      <c r="A349" t="s">
        <v>372</v>
      </c>
    </row>
    <row r="350" spans="1:1">
      <c r="A350" t="s">
        <v>373</v>
      </c>
    </row>
    <row r="351" spans="1:1">
      <c r="A351" t="s">
        <v>374</v>
      </c>
    </row>
    <row r="352" spans="1:1">
      <c r="A352" t="s">
        <v>375</v>
      </c>
    </row>
    <row r="353" spans="1:1">
      <c r="A353" t="s">
        <v>376</v>
      </c>
    </row>
    <row r="354" spans="1:1">
      <c r="A354" t="s">
        <v>377</v>
      </c>
    </row>
    <row r="355" spans="1:1">
      <c r="A355" t="s">
        <v>378</v>
      </c>
    </row>
    <row r="356" spans="1:1">
      <c r="A356" t="s">
        <v>379</v>
      </c>
    </row>
    <row r="357" spans="1:1">
      <c r="A357" t="s">
        <v>380</v>
      </c>
    </row>
    <row r="358" spans="1:1">
      <c r="A358" t="s">
        <v>381</v>
      </c>
    </row>
    <row r="359" spans="1:1">
      <c r="A359" t="s">
        <v>382</v>
      </c>
    </row>
    <row r="360" spans="1:1">
      <c r="A360" t="s">
        <v>383</v>
      </c>
    </row>
    <row r="361" spans="1:1">
      <c r="A361" t="s">
        <v>384</v>
      </c>
    </row>
    <row r="362" spans="1:1">
      <c r="A362" t="s">
        <v>385</v>
      </c>
    </row>
    <row r="363" spans="1:1">
      <c r="A363" t="s">
        <v>386</v>
      </c>
    </row>
    <row r="364" spans="1:1">
      <c r="A364" t="s">
        <v>387</v>
      </c>
    </row>
    <row r="365" spans="1:1">
      <c r="A365" t="s">
        <v>388</v>
      </c>
    </row>
    <row r="366" spans="1:1">
      <c r="A366" t="s">
        <v>389</v>
      </c>
    </row>
    <row r="367" spans="1:1">
      <c r="A367" t="s">
        <v>390</v>
      </c>
    </row>
    <row r="368" spans="1:1">
      <c r="A368" t="s">
        <v>391</v>
      </c>
    </row>
    <row r="369" spans="1:1">
      <c r="A369" t="s">
        <v>392</v>
      </c>
    </row>
    <row r="370" spans="1:1">
      <c r="A370" t="s">
        <v>393</v>
      </c>
    </row>
    <row r="371" spans="1:1">
      <c r="A371" t="s">
        <v>394</v>
      </c>
    </row>
    <row r="372" spans="1:1">
      <c r="A372" t="s">
        <v>395</v>
      </c>
    </row>
    <row r="373" spans="1:1">
      <c r="A373" t="s">
        <v>396</v>
      </c>
    </row>
    <row r="374" spans="1:1">
      <c r="A374" t="s">
        <v>397</v>
      </c>
    </row>
    <row r="375" spans="1:1">
      <c r="A375" t="s">
        <v>398</v>
      </c>
    </row>
    <row r="376" spans="1:1">
      <c r="A376" t="s">
        <v>399</v>
      </c>
    </row>
    <row r="377" spans="1:1">
      <c r="A377" t="s">
        <v>400</v>
      </c>
    </row>
    <row r="378" spans="1:1">
      <c r="A378" t="s">
        <v>401</v>
      </c>
    </row>
    <row r="379" spans="1:1">
      <c r="A379" t="s">
        <v>402</v>
      </c>
    </row>
    <row r="380" spans="1:1">
      <c r="A380" t="s">
        <v>403</v>
      </c>
    </row>
    <row r="381" spans="1:1">
      <c r="A381" t="s">
        <v>404</v>
      </c>
    </row>
    <row r="382" spans="1:1">
      <c r="A382" t="s">
        <v>405</v>
      </c>
    </row>
    <row r="383" spans="1:1">
      <c r="A383" t="s">
        <v>406</v>
      </c>
    </row>
    <row r="384" spans="1:1">
      <c r="A384" t="s">
        <v>407</v>
      </c>
    </row>
    <row r="385" spans="1:1">
      <c r="A385" t="s">
        <v>408</v>
      </c>
    </row>
    <row r="386" spans="1:1">
      <c r="A386" t="s">
        <v>409</v>
      </c>
    </row>
    <row r="387" spans="1:1">
      <c r="A387" t="s">
        <v>410</v>
      </c>
    </row>
    <row r="388" spans="1:1">
      <c r="A388" t="s">
        <v>411</v>
      </c>
    </row>
    <row r="389" spans="1:1">
      <c r="A389" t="s">
        <v>412</v>
      </c>
    </row>
    <row r="390" spans="1:1">
      <c r="A390" t="s">
        <v>413</v>
      </c>
    </row>
    <row r="391" spans="1:1">
      <c r="A391" t="s">
        <v>414</v>
      </c>
    </row>
    <row r="392" spans="1:1">
      <c r="A392" t="s">
        <v>415</v>
      </c>
    </row>
    <row r="393" spans="1:1">
      <c r="A393" t="s">
        <v>416</v>
      </c>
    </row>
    <row r="394" spans="1:1">
      <c r="A394" t="s">
        <v>417</v>
      </c>
    </row>
    <row r="395" spans="1:1">
      <c r="A395" t="s">
        <v>418</v>
      </c>
    </row>
    <row r="396" spans="1:1">
      <c r="A396" t="s">
        <v>419</v>
      </c>
    </row>
    <row r="397" spans="1:1">
      <c r="A397" t="s">
        <v>420</v>
      </c>
    </row>
    <row r="398" spans="1:1">
      <c r="A398" t="s">
        <v>421</v>
      </c>
    </row>
    <row r="399" spans="1:1">
      <c r="A399" t="s">
        <v>422</v>
      </c>
    </row>
    <row r="400" spans="1:1">
      <c r="A400" t="s">
        <v>423</v>
      </c>
    </row>
    <row r="401" spans="1:1">
      <c r="A401" t="s">
        <v>424</v>
      </c>
    </row>
    <row r="402" spans="1:1">
      <c r="A402" t="s">
        <v>425</v>
      </c>
    </row>
    <row r="403" spans="1:1">
      <c r="A403" t="s">
        <v>426</v>
      </c>
    </row>
    <row r="404" spans="1:1">
      <c r="A404" t="s">
        <v>427</v>
      </c>
    </row>
    <row r="405" spans="1:1">
      <c r="A405" t="s">
        <v>428</v>
      </c>
    </row>
    <row r="406" spans="1:1">
      <c r="A406" t="s">
        <v>429</v>
      </c>
    </row>
    <row r="407" spans="1:1">
      <c r="A407" t="s">
        <v>430</v>
      </c>
    </row>
    <row r="408" spans="1:1">
      <c r="A408" t="s">
        <v>431</v>
      </c>
    </row>
    <row r="409" spans="1:1">
      <c r="A409" t="s">
        <v>432</v>
      </c>
    </row>
    <row r="410" spans="1:1">
      <c r="A410" t="s">
        <v>433</v>
      </c>
    </row>
    <row r="411" spans="1:1">
      <c r="A411" t="s">
        <v>434</v>
      </c>
    </row>
    <row r="412" spans="1:1">
      <c r="A412" t="s">
        <v>435</v>
      </c>
    </row>
    <row r="413" spans="1:1">
      <c r="A413" t="s">
        <v>436</v>
      </c>
    </row>
    <row r="414" spans="1:1">
      <c r="A414" t="s">
        <v>437</v>
      </c>
    </row>
    <row r="415" spans="1:1">
      <c r="A415" t="s">
        <v>438</v>
      </c>
    </row>
    <row r="416" spans="1:1">
      <c r="A416" t="s">
        <v>439</v>
      </c>
    </row>
    <row r="417" spans="1:1">
      <c r="A417" t="s">
        <v>440</v>
      </c>
    </row>
    <row r="418" spans="1:1">
      <c r="A418" t="s">
        <v>441</v>
      </c>
    </row>
    <row r="419" spans="1:1">
      <c r="A419" t="s">
        <v>442</v>
      </c>
    </row>
    <row r="420" spans="1:1">
      <c r="A420" t="s">
        <v>443</v>
      </c>
    </row>
    <row r="421" spans="1:1">
      <c r="A421" t="s">
        <v>444</v>
      </c>
    </row>
    <row r="422" spans="1:1">
      <c r="A422" t="s">
        <v>445</v>
      </c>
    </row>
    <row r="423" spans="1:1">
      <c r="A423" t="s">
        <v>446</v>
      </c>
    </row>
    <row r="424" spans="1:1">
      <c r="A424" t="s">
        <v>447</v>
      </c>
    </row>
    <row r="425" spans="1:1">
      <c r="A425" t="s">
        <v>448</v>
      </c>
    </row>
    <row r="426" spans="1:1">
      <c r="A426" t="s">
        <v>449</v>
      </c>
    </row>
    <row r="427" spans="1:1">
      <c r="A427" t="s">
        <v>450</v>
      </c>
    </row>
    <row r="428" spans="1:1">
      <c r="A428" t="s">
        <v>451</v>
      </c>
    </row>
    <row r="429" spans="1:1">
      <c r="A429" t="s">
        <v>452</v>
      </c>
    </row>
    <row r="430" spans="1:1">
      <c r="A430" t="s">
        <v>453</v>
      </c>
    </row>
    <row r="431" spans="1:1">
      <c r="A431" t="s">
        <v>454</v>
      </c>
    </row>
    <row r="432" spans="1:1" s="19" customFormat="1">
      <c r="A432" s="19" t="s">
        <v>455</v>
      </c>
    </row>
    <row r="433" spans="1:1">
      <c r="A433" t="s">
        <v>567</v>
      </c>
    </row>
    <row r="434" spans="1:1">
      <c r="A434" t="s">
        <v>568</v>
      </c>
    </row>
    <row r="435" spans="1:1">
      <c r="A435" t="s">
        <v>569</v>
      </c>
    </row>
    <row r="436" spans="1:1">
      <c r="A436" t="s">
        <v>570</v>
      </c>
    </row>
    <row r="437" spans="1:1">
      <c r="A437" t="s">
        <v>571</v>
      </c>
    </row>
    <row r="438" spans="1:1">
      <c r="A438" t="s">
        <v>572</v>
      </c>
    </row>
    <row r="439" spans="1:1">
      <c r="A439" t="s">
        <v>573</v>
      </c>
    </row>
    <row r="440" spans="1:1">
      <c r="A440" t="s">
        <v>574</v>
      </c>
    </row>
    <row r="441" spans="1:1">
      <c r="A441" t="s">
        <v>575</v>
      </c>
    </row>
    <row r="442" spans="1:1">
      <c r="A442" t="s">
        <v>576</v>
      </c>
    </row>
    <row r="443" spans="1:1">
      <c r="A443" t="s">
        <v>577</v>
      </c>
    </row>
    <row r="444" spans="1:1">
      <c r="A444" t="s">
        <v>578</v>
      </c>
    </row>
    <row r="445" spans="1:1">
      <c r="A445" t="s">
        <v>579</v>
      </c>
    </row>
    <row r="446" spans="1:1">
      <c r="A446" t="s">
        <v>580</v>
      </c>
    </row>
    <row r="447" spans="1:1">
      <c r="A447" t="s">
        <v>581</v>
      </c>
    </row>
    <row r="448" spans="1:1">
      <c r="A448" t="s">
        <v>582</v>
      </c>
    </row>
    <row r="449" spans="1:1">
      <c r="A449" t="s">
        <v>583</v>
      </c>
    </row>
    <row r="450" spans="1:1">
      <c r="A450" t="s">
        <v>584</v>
      </c>
    </row>
    <row r="451" spans="1:1">
      <c r="A451" t="s">
        <v>585</v>
      </c>
    </row>
    <row r="452" spans="1:1">
      <c r="A452" t="s">
        <v>586</v>
      </c>
    </row>
    <row r="453" spans="1:1">
      <c r="A453" t="s">
        <v>587</v>
      </c>
    </row>
    <row r="454" spans="1:1">
      <c r="A454" t="s">
        <v>588</v>
      </c>
    </row>
    <row r="455" spans="1:1">
      <c r="A455" t="s">
        <v>589</v>
      </c>
    </row>
    <row r="456" spans="1:1">
      <c r="A456" t="s">
        <v>590</v>
      </c>
    </row>
    <row r="457" spans="1:1">
      <c r="A457" t="s">
        <v>591</v>
      </c>
    </row>
    <row r="458" spans="1:1">
      <c r="A458" t="s">
        <v>592</v>
      </c>
    </row>
    <row r="459" spans="1:1">
      <c r="A459" t="s">
        <v>593</v>
      </c>
    </row>
    <row r="460" spans="1:1">
      <c r="A460" t="s">
        <v>594</v>
      </c>
    </row>
    <row r="461" spans="1:1">
      <c r="A461" t="s">
        <v>595</v>
      </c>
    </row>
    <row r="462" spans="1:1">
      <c r="A462" t="s">
        <v>596</v>
      </c>
    </row>
    <row r="463" spans="1:1">
      <c r="A463" t="s">
        <v>597</v>
      </c>
    </row>
    <row r="464" spans="1:1">
      <c r="A464" t="s">
        <v>598</v>
      </c>
    </row>
    <row r="465" spans="1:1">
      <c r="A465" t="s">
        <v>599</v>
      </c>
    </row>
    <row r="466" spans="1:1">
      <c r="A466" t="s">
        <v>600</v>
      </c>
    </row>
    <row r="467" spans="1:1">
      <c r="A467" t="s">
        <v>601</v>
      </c>
    </row>
    <row r="468" spans="1:1">
      <c r="A468" t="s">
        <v>602</v>
      </c>
    </row>
    <row r="469" spans="1:1">
      <c r="A469" t="s">
        <v>603</v>
      </c>
    </row>
    <row r="470" spans="1:1">
      <c r="A470" t="s">
        <v>604</v>
      </c>
    </row>
    <row r="471" spans="1:1">
      <c r="A471" t="s">
        <v>605</v>
      </c>
    </row>
    <row r="472" spans="1:1">
      <c r="A472" t="s">
        <v>606</v>
      </c>
    </row>
    <row r="473" spans="1:1">
      <c r="A473" t="s">
        <v>607</v>
      </c>
    </row>
    <row r="474" spans="1:1">
      <c r="A474" t="s">
        <v>608</v>
      </c>
    </row>
    <row r="475" spans="1:1">
      <c r="A475" t="s">
        <v>609</v>
      </c>
    </row>
    <row r="476" spans="1:1">
      <c r="A476" t="s">
        <v>610</v>
      </c>
    </row>
    <row r="477" spans="1:1">
      <c r="A477" t="s">
        <v>611</v>
      </c>
    </row>
    <row r="478" spans="1:1">
      <c r="A478" t="s">
        <v>612</v>
      </c>
    </row>
    <row r="479" spans="1:1">
      <c r="A479" t="s">
        <v>613</v>
      </c>
    </row>
    <row r="480" spans="1:1">
      <c r="A480" t="s">
        <v>614</v>
      </c>
    </row>
    <row r="481" spans="1:1">
      <c r="A481" t="s">
        <v>615</v>
      </c>
    </row>
    <row r="482" spans="1:1">
      <c r="A482" t="s">
        <v>616</v>
      </c>
    </row>
    <row r="483" spans="1:1">
      <c r="A483" t="s">
        <v>617</v>
      </c>
    </row>
    <row r="484" spans="1:1">
      <c r="A484" t="s">
        <v>618</v>
      </c>
    </row>
    <row r="485" spans="1:1">
      <c r="A485" t="s">
        <v>619</v>
      </c>
    </row>
    <row r="486" spans="1:1">
      <c r="A486" t="s">
        <v>620</v>
      </c>
    </row>
    <row r="487" spans="1:1">
      <c r="A487" t="s">
        <v>621</v>
      </c>
    </row>
    <row r="488" spans="1:1">
      <c r="A488" t="s">
        <v>622</v>
      </c>
    </row>
    <row r="489" spans="1:1">
      <c r="A489" t="s">
        <v>623</v>
      </c>
    </row>
    <row r="490" spans="1:1">
      <c r="A490" t="s">
        <v>624</v>
      </c>
    </row>
    <row r="491" spans="1:1">
      <c r="A491" t="s">
        <v>625</v>
      </c>
    </row>
    <row r="492" spans="1:1">
      <c r="A492" t="s">
        <v>626</v>
      </c>
    </row>
    <row r="493" spans="1:1">
      <c r="A493" t="s">
        <v>627</v>
      </c>
    </row>
    <row r="494" spans="1:1">
      <c r="A494" t="s">
        <v>628</v>
      </c>
    </row>
    <row r="495" spans="1:1">
      <c r="A495" t="s">
        <v>629</v>
      </c>
    </row>
    <row r="496" spans="1:1">
      <c r="A496" t="s">
        <v>630</v>
      </c>
    </row>
    <row r="497" spans="1:1">
      <c r="A497" t="s">
        <v>631</v>
      </c>
    </row>
    <row r="498" spans="1:1">
      <c r="A498" t="s">
        <v>632</v>
      </c>
    </row>
    <row r="499" spans="1:1">
      <c r="A499" t="s">
        <v>633</v>
      </c>
    </row>
    <row r="500" spans="1:1">
      <c r="A500" t="s">
        <v>634</v>
      </c>
    </row>
    <row r="501" spans="1:1">
      <c r="A501" t="s">
        <v>635</v>
      </c>
    </row>
    <row r="502" spans="1:1">
      <c r="A502" t="s">
        <v>636</v>
      </c>
    </row>
    <row r="503" spans="1:1">
      <c r="A503" t="s">
        <v>637</v>
      </c>
    </row>
    <row r="504" spans="1:1">
      <c r="A504" t="s">
        <v>638</v>
      </c>
    </row>
    <row r="505" spans="1:1">
      <c r="A505" t="s">
        <v>639</v>
      </c>
    </row>
    <row r="506" spans="1:1">
      <c r="A506" t="s">
        <v>640</v>
      </c>
    </row>
    <row r="507" spans="1:1">
      <c r="A507" t="s">
        <v>641</v>
      </c>
    </row>
    <row r="508" spans="1:1">
      <c r="A508" t="s">
        <v>642</v>
      </c>
    </row>
    <row r="509" spans="1:1">
      <c r="A509" t="s">
        <v>643</v>
      </c>
    </row>
    <row r="510" spans="1:1">
      <c r="A510" t="s">
        <v>644</v>
      </c>
    </row>
    <row r="511" spans="1:1">
      <c r="A511" t="s">
        <v>645</v>
      </c>
    </row>
    <row r="512" spans="1:1">
      <c r="A512" t="s">
        <v>646</v>
      </c>
    </row>
    <row r="513" spans="1:1">
      <c r="A513" t="s">
        <v>647</v>
      </c>
    </row>
    <row r="514" spans="1:1">
      <c r="A514" t="s">
        <v>648</v>
      </c>
    </row>
    <row r="515" spans="1:1">
      <c r="A515" t="s">
        <v>649</v>
      </c>
    </row>
    <row r="516" spans="1:1">
      <c r="A516" t="s">
        <v>650</v>
      </c>
    </row>
    <row r="517" spans="1:1">
      <c r="A517" t="s">
        <v>651</v>
      </c>
    </row>
    <row r="518" spans="1:1">
      <c r="A518" t="s">
        <v>652</v>
      </c>
    </row>
    <row r="519" spans="1:1">
      <c r="A519" t="s">
        <v>653</v>
      </c>
    </row>
    <row r="520" spans="1:1">
      <c r="A520" t="s">
        <v>654</v>
      </c>
    </row>
    <row r="521" spans="1:1">
      <c r="A521" t="s">
        <v>655</v>
      </c>
    </row>
    <row r="522" spans="1:1">
      <c r="A522" t="s">
        <v>656</v>
      </c>
    </row>
    <row r="523" spans="1:1">
      <c r="A523" t="s">
        <v>657</v>
      </c>
    </row>
    <row r="524" spans="1:1">
      <c r="A524" t="s">
        <v>658</v>
      </c>
    </row>
    <row r="525" spans="1:1">
      <c r="A525" t="s">
        <v>659</v>
      </c>
    </row>
    <row r="526" spans="1:1">
      <c r="A526" t="s">
        <v>660</v>
      </c>
    </row>
    <row r="527" spans="1:1">
      <c r="A527" t="s">
        <v>661</v>
      </c>
    </row>
    <row r="528" spans="1:1">
      <c r="A528" t="s">
        <v>662</v>
      </c>
    </row>
    <row r="529" spans="1:1">
      <c r="A529" t="s">
        <v>663</v>
      </c>
    </row>
    <row r="530" spans="1:1">
      <c r="A530" t="s">
        <v>664</v>
      </c>
    </row>
    <row r="531" spans="1:1">
      <c r="A531" t="s">
        <v>665</v>
      </c>
    </row>
    <row r="532" spans="1:1">
      <c r="A532" t="s">
        <v>666</v>
      </c>
    </row>
    <row r="533" spans="1:1">
      <c r="A533" t="s">
        <v>667</v>
      </c>
    </row>
    <row r="534" spans="1:1">
      <c r="A534" t="s">
        <v>668</v>
      </c>
    </row>
    <row r="535" spans="1:1">
      <c r="A535" t="s">
        <v>669</v>
      </c>
    </row>
    <row r="536" spans="1:1">
      <c r="A536" t="s">
        <v>670</v>
      </c>
    </row>
    <row r="537" spans="1:1">
      <c r="A537" t="s">
        <v>671</v>
      </c>
    </row>
    <row r="538" spans="1:1">
      <c r="A538" t="s">
        <v>672</v>
      </c>
    </row>
    <row r="539" spans="1:1">
      <c r="A539" t="s">
        <v>673</v>
      </c>
    </row>
    <row r="540" spans="1:1">
      <c r="A540" t="s">
        <v>674</v>
      </c>
    </row>
    <row r="541" spans="1:1">
      <c r="A541" t="s">
        <v>675</v>
      </c>
    </row>
    <row r="542" spans="1:1">
      <c r="A542" t="s">
        <v>676</v>
      </c>
    </row>
    <row r="543" spans="1:1">
      <c r="A543" t="s">
        <v>677</v>
      </c>
    </row>
    <row r="544" spans="1:1">
      <c r="A544" t="s">
        <v>678</v>
      </c>
    </row>
    <row r="545" spans="1:1">
      <c r="A545" t="s">
        <v>679</v>
      </c>
    </row>
    <row r="546" spans="1:1">
      <c r="A546" t="s">
        <v>680</v>
      </c>
    </row>
    <row r="547" spans="1:1">
      <c r="A547" t="s">
        <v>681</v>
      </c>
    </row>
    <row r="548" spans="1:1">
      <c r="A548" t="s">
        <v>682</v>
      </c>
    </row>
    <row r="549" spans="1:1">
      <c r="A549" t="s">
        <v>683</v>
      </c>
    </row>
    <row r="550" spans="1:1">
      <c r="A550" t="s">
        <v>684</v>
      </c>
    </row>
    <row r="551" spans="1:1">
      <c r="A551" t="s">
        <v>685</v>
      </c>
    </row>
    <row r="552" spans="1:1">
      <c r="A552" t="s">
        <v>686</v>
      </c>
    </row>
    <row r="553" spans="1:1">
      <c r="A553" t="s">
        <v>687</v>
      </c>
    </row>
    <row r="554" spans="1:1">
      <c r="A554" t="s">
        <v>688</v>
      </c>
    </row>
    <row r="555" spans="1:1">
      <c r="A555" t="s">
        <v>689</v>
      </c>
    </row>
    <row r="556" spans="1:1">
      <c r="A556" t="s">
        <v>690</v>
      </c>
    </row>
    <row r="557" spans="1:1">
      <c r="A557" t="s">
        <v>691</v>
      </c>
    </row>
    <row r="558" spans="1:1">
      <c r="A558" t="s">
        <v>692</v>
      </c>
    </row>
    <row r="559" spans="1:1">
      <c r="A559" t="s">
        <v>693</v>
      </c>
    </row>
    <row r="560" spans="1:1">
      <c r="A560" t="s">
        <v>694</v>
      </c>
    </row>
    <row r="561" spans="1:1">
      <c r="A561" t="s">
        <v>695</v>
      </c>
    </row>
    <row r="562" spans="1:1">
      <c r="A562" t="s">
        <v>696</v>
      </c>
    </row>
    <row r="563" spans="1:1">
      <c r="A563" t="s">
        <v>697</v>
      </c>
    </row>
    <row r="564" spans="1:1">
      <c r="A564" t="s">
        <v>698</v>
      </c>
    </row>
    <row r="565" spans="1:1">
      <c r="A565" t="s">
        <v>699</v>
      </c>
    </row>
    <row r="566" spans="1:1">
      <c r="A566" t="s">
        <v>700</v>
      </c>
    </row>
    <row r="567" spans="1:1">
      <c r="A567" t="s">
        <v>701</v>
      </c>
    </row>
    <row r="568" spans="1:1">
      <c r="A568" t="s">
        <v>702</v>
      </c>
    </row>
    <row r="569" spans="1:1">
      <c r="A569" t="s">
        <v>703</v>
      </c>
    </row>
    <row r="570" spans="1:1">
      <c r="A570" t="s">
        <v>704</v>
      </c>
    </row>
    <row r="571" spans="1:1">
      <c r="A571" t="s">
        <v>705</v>
      </c>
    </row>
    <row r="572" spans="1:1">
      <c r="A572" t="s">
        <v>706</v>
      </c>
    </row>
    <row r="573" spans="1:1">
      <c r="A573" t="s">
        <v>707</v>
      </c>
    </row>
    <row r="574" spans="1:1">
      <c r="A574" t="s">
        <v>708</v>
      </c>
    </row>
    <row r="575" spans="1:1">
      <c r="A575" t="s">
        <v>709</v>
      </c>
    </row>
    <row r="576" spans="1:1">
      <c r="A576" t="s">
        <v>710</v>
      </c>
    </row>
    <row r="577" spans="1:1">
      <c r="A577" t="s">
        <v>711</v>
      </c>
    </row>
    <row r="578" spans="1:1">
      <c r="A578" t="s">
        <v>712</v>
      </c>
    </row>
    <row r="579" spans="1:1">
      <c r="A579" t="s">
        <v>713</v>
      </c>
    </row>
    <row r="580" spans="1:1">
      <c r="A580" t="s">
        <v>714</v>
      </c>
    </row>
    <row r="581" spans="1:1">
      <c r="A581" t="s">
        <v>715</v>
      </c>
    </row>
    <row r="582" spans="1:1">
      <c r="A582" t="s">
        <v>716</v>
      </c>
    </row>
    <row r="583" spans="1:1">
      <c r="A583" t="s">
        <v>717</v>
      </c>
    </row>
    <row r="584" spans="1:1">
      <c r="A584" t="s">
        <v>718</v>
      </c>
    </row>
    <row r="585" spans="1:1">
      <c r="A585" t="s">
        <v>719</v>
      </c>
    </row>
    <row r="586" spans="1:1">
      <c r="A586" t="s">
        <v>720</v>
      </c>
    </row>
    <row r="587" spans="1:1">
      <c r="A587" t="s">
        <v>721</v>
      </c>
    </row>
    <row r="588" spans="1:1">
      <c r="A588" t="s">
        <v>722</v>
      </c>
    </row>
    <row r="589" spans="1:1">
      <c r="A589" t="s">
        <v>723</v>
      </c>
    </row>
    <row r="590" spans="1:1">
      <c r="A590" t="s">
        <v>724</v>
      </c>
    </row>
    <row r="591" spans="1:1">
      <c r="A591" t="s">
        <v>725</v>
      </c>
    </row>
    <row r="592" spans="1:1">
      <c r="A592" t="s">
        <v>726</v>
      </c>
    </row>
    <row r="593" spans="1:1">
      <c r="A593" t="s">
        <v>727</v>
      </c>
    </row>
    <row r="594" spans="1:1">
      <c r="A594" t="s">
        <v>728</v>
      </c>
    </row>
    <row r="595" spans="1:1">
      <c r="A595" t="s">
        <v>729</v>
      </c>
    </row>
    <row r="596" spans="1:1">
      <c r="A596" t="s">
        <v>730</v>
      </c>
    </row>
    <row r="597" spans="1:1">
      <c r="A597" t="s">
        <v>731</v>
      </c>
    </row>
    <row r="598" spans="1:1">
      <c r="A598" t="s">
        <v>732</v>
      </c>
    </row>
    <row r="599" spans="1:1">
      <c r="A599" t="s">
        <v>733</v>
      </c>
    </row>
    <row r="600" spans="1:1">
      <c r="A600" t="s">
        <v>734</v>
      </c>
    </row>
    <row r="601" spans="1:1">
      <c r="A601" t="s">
        <v>735</v>
      </c>
    </row>
    <row r="602" spans="1:1">
      <c r="A602" t="s">
        <v>736</v>
      </c>
    </row>
    <row r="603" spans="1:1">
      <c r="A603" t="s">
        <v>737</v>
      </c>
    </row>
    <row r="604" spans="1:1">
      <c r="A604" t="s">
        <v>738</v>
      </c>
    </row>
    <row r="605" spans="1:1">
      <c r="A605" t="s">
        <v>739</v>
      </c>
    </row>
    <row r="606" spans="1:1">
      <c r="A606" t="s">
        <v>740</v>
      </c>
    </row>
    <row r="607" spans="1:1">
      <c r="A607" t="s">
        <v>741</v>
      </c>
    </row>
    <row r="608" spans="1:1">
      <c r="A608" t="s">
        <v>742</v>
      </c>
    </row>
    <row r="609" spans="1:1">
      <c r="A609" t="s">
        <v>743</v>
      </c>
    </row>
    <row r="610" spans="1:1">
      <c r="A610" t="s">
        <v>744</v>
      </c>
    </row>
    <row r="611" spans="1:1">
      <c r="A611" t="s">
        <v>745</v>
      </c>
    </row>
    <row r="612" spans="1:1">
      <c r="A612" t="s">
        <v>746</v>
      </c>
    </row>
    <row r="613" spans="1:1">
      <c r="A613" t="s">
        <v>747</v>
      </c>
    </row>
    <row r="614" spans="1:1">
      <c r="A614" t="s">
        <v>748</v>
      </c>
    </row>
    <row r="615" spans="1:1">
      <c r="A615" t="s">
        <v>749</v>
      </c>
    </row>
    <row r="616" spans="1:1">
      <c r="A616" t="s">
        <v>750</v>
      </c>
    </row>
    <row r="617" spans="1:1">
      <c r="A617" t="s">
        <v>751</v>
      </c>
    </row>
    <row r="618" spans="1:1">
      <c r="A618" t="s">
        <v>752</v>
      </c>
    </row>
    <row r="619" spans="1:1">
      <c r="A619" t="s">
        <v>753</v>
      </c>
    </row>
    <row r="620" spans="1:1">
      <c r="A620" t="s">
        <v>754</v>
      </c>
    </row>
    <row r="621" spans="1:1">
      <c r="A621" t="s">
        <v>755</v>
      </c>
    </row>
    <row r="622" spans="1:1">
      <c r="A622" t="s">
        <v>756</v>
      </c>
    </row>
    <row r="623" spans="1:1">
      <c r="A623" t="s">
        <v>757</v>
      </c>
    </row>
    <row r="624" spans="1:1">
      <c r="A624" t="s">
        <v>758</v>
      </c>
    </row>
    <row r="625" spans="1:1">
      <c r="A625" t="s">
        <v>759</v>
      </c>
    </row>
    <row r="626" spans="1:1">
      <c r="A626" t="s">
        <v>760</v>
      </c>
    </row>
    <row r="627" spans="1:1">
      <c r="A627" t="s">
        <v>761</v>
      </c>
    </row>
    <row r="628" spans="1:1">
      <c r="A628" t="s">
        <v>762</v>
      </c>
    </row>
    <row r="629" spans="1:1">
      <c r="A629" t="s">
        <v>763</v>
      </c>
    </row>
    <row r="630" spans="1:1">
      <c r="A630" t="s">
        <v>764</v>
      </c>
    </row>
    <row r="631" spans="1:1">
      <c r="A631" t="s">
        <v>765</v>
      </c>
    </row>
    <row r="632" spans="1:1">
      <c r="A632" t="s">
        <v>766</v>
      </c>
    </row>
    <row r="633" spans="1:1">
      <c r="A633" t="s">
        <v>767</v>
      </c>
    </row>
    <row r="634" spans="1:1">
      <c r="A634" t="s">
        <v>768</v>
      </c>
    </row>
    <row r="635" spans="1:1">
      <c r="A635" t="s">
        <v>769</v>
      </c>
    </row>
    <row r="636" spans="1:1">
      <c r="A636" t="s">
        <v>770</v>
      </c>
    </row>
    <row r="637" spans="1:1">
      <c r="A637" t="s">
        <v>771</v>
      </c>
    </row>
    <row r="638" spans="1:1">
      <c r="A638" t="s">
        <v>772</v>
      </c>
    </row>
    <row r="639" spans="1:1">
      <c r="A639" t="s">
        <v>773</v>
      </c>
    </row>
    <row r="640" spans="1:1">
      <c r="A640" t="s">
        <v>774</v>
      </c>
    </row>
    <row r="641" spans="1:1">
      <c r="A641" t="s">
        <v>775</v>
      </c>
    </row>
    <row r="642" spans="1:1">
      <c r="A642" t="s">
        <v>776</v>
      </c>
    </row>
    <row r="643" spans="1:1">
      <c r="A643" t="s">
        <v>777</v>
      </c>
    </row>
    <row r="644" spans="1:1">
      <c r="A644" t="s">
        <v>778</v>
      </c>
    </row>
    <row r="645" spans="1:1">
      <c r="A645" t="s">
        <v>779</v>
      </c>
    </row>
    <row r="646" spans="1:1">
      <c r="A646" t="s">
        <v>780</v>
      </c>
    </row>
    <row r="647" spans="1:1">
      <c r="A647" t="s">
        <v>781</v>
      </c>
    </row>
    <row r="648" spans="1:1">
      <c r="A648" t="s">
        <v>782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43"/>
  <sheetViews>
    <sheetView topLeftCell="A415" workbookViewId="0">
      <selection activeCell="J445" sqref="J445"/>
    </sheetView>
  </sheetViews>
  <sheetFormatPr baseColWidth="10" defaultRowHeight="15" x14ac:dyDescent="0"/>
  <sheetData>
    <row r="1" spans="1:1">
      <c r="A1" t="s">
        <v>456</v>
      </c>
    </row>
    <row r="7" spans="1:1">
      <c r="A7" t="s">
        <v>457</v>
      </c>
    </row>
    <row r="13" spans="1:1">
      <c r="A13" t="s">
        <v>458</v>
      </c>
    </row>
    <row r="19" spans="1:1">
      <c r="A19" t="s">
        <v>459</v>
      </c>
    </row>
    <row r="25" spans="1:1">
      <c r="A25" t="s">
        <v>460</v>
      </c>
    </row>
    <row r="31" spans="1:1">
      <c r="A31" t="s">
        <v>461</v>
      </c>
    </row>
    <row r="37" spans="1:1">
      <c r="A37" t="s">
        <v>462</v>
      </c>
    </row>
    <row r="43" spans="1:1">
      <c r="A43" t="s">
        <v>463</v>
      </c>
    </row>
    <row r="49" spans="1:1">
      <c r="A49" t="s">
        <v>464</v>
      </c>
    </row>
    <row r="55" spans="1:1">
      <c r="A55" t="s">
        <v>465</v>
      </c>
    </row>
    <row r="61" spans="1:1">
      <c r="A61" t="s">
        <v>466</v>
      </c>
    </row>
    <row r="67" spans="1:1">
      <c r="A67" t="s">
        <v>467</v>
      </c>
    </row>
    <row r="73" spans="1:1">
      <c r="A73" t="s">
        <v>468</v>
      </c>
    </row>
    <row r="79" spans="1:1">
      <c r="A79" t="s">
        <v>469</v>
      </c>
    </row>
    <row r="85" spans="1:1">
      <c r="A85" t="s">
        <v>470</v>
      </c>
    </row>
    <row r="91" spans="1:1">
      <c r="A91" t="s">
        <v>471</v>
      </c>
    </row>
    <row r="97" spans="1:1">
      <c r="A97" t="s">
        <v>472</v>
      </c>
    </row>
    <row r="103" spans="1:1">
      <c r="A103" t="s">
        <v>473</v>
      </c>
    </row>
    <row r="109" spans="1:1">
      <c r="A109" t="s">
        <v>474</v>
      </c>
    </row>
    <row r="115" spans="1:1">
      <c r="A115" t="s">
        <v>475</v>
      </c>
    </row>
    <row r="121" spans="1:1">
      <c r="A121" t="s">
        <v>476</v>
      </c>
    </row>
    <row r="127" spans="1:1">
      <c r="A127" t="s">
        <v>477</v>
      </c>
    </row>
    <row r="133" spans="1:1">
      <c r="A133" t="s">
        <v>478</v>
      </c>
    </row>
    <row r="139" spans="1:1">
      <c r="A139" t="s">
        <v>479</v>
      </c>
    </row>
    <row r="145" spans="1:1">
      <c r="A145" t="s">
        <v>480</v>
      </c>
    </row>
    <row r="151" spans="1:1">
      <c r="A151" t="s">
        <v>481</v>
      </c>
    </row>
    <row r="157" spans="1:1">
      <c r="A157" t="s">
        <v>482</v>
      </c>
    </row>
    <row r="163" spans="1:1">
      <c r="A163" t="s">
        <v>483</v>
      </c>
    </row>
    <row r="169" spans="1:1">
      <c r="A169" t="s">
        <v>484</v>
      </c>
    </row>
    <row r="175" spans="1:1">
      <c r="A175" t="s">
        <v>485</v>
      </c>
    </row>
    <row r="181" spans="1:1">
      <c r="A181" t="s">
        <v>486</v>
      </c>
    </row>
    <row r="187" spans="1:1">
      <c r="A187" t="s">
        <v>487</v>
      </c>
    </row>
    <row r="193" spans="1:1">
      <c r="A193" t="s">
        <v>488</v>
      </c>
    </row>
    <row r="199" spans="1:1">
      <c r="A199" t="s">
        <v>489</v>
      </c>
    </row>
    <row r="205" spans="1:1">
      <c r="A205" t="s">
        <v>490</v>
      </c>
    </row>
    <row r="211" spans="1:1">
      <c r="A211" t="s">
        <v>491</v>
      </c>
    </row>
    <row r="217" spans="1:1">
      <c r="A217" t="s">
        <v>492</v>
      </c>
    </row>
    <row r="223" spans="1:1">
      <c r="A223" t="s">
        <v>493</v>
      </c>
    </row>
    <row r="229" spans="1:1">
      <c r="A229" t="s">
        <v>494</v>
      </c>
    </row>
    <row r="235" spans="1:1">
      <c r="A235" t="s">
        <v>495</v>
      </c>
    </row>
    <row r="241" spans="1:1">
      <c r="A241" t="s">
        <v>496</v>
      </c>
    </row>
    <row r="247" spans="1:1">
      <c r="A247" t="s">
        <v>497</v>
      </c>
    </row>
    <row r="253" spans="1:1">
      <c r="A253" t="s">
        <v>498</v>
      </c>
    </row>
    <row r="259" spans="1:1">
      <c r="A259" t="s">
        <v>499</v>
      </c>
    </row>
    <row r="265" spans="1:1">
      <c r="A265" t="s">
        <v>500</v>
      </c>
    </row>
    <row r="271" spans="1:1">
      <c r="A271" t="s">
        <v>501</v>
      </c>
    </row>
    <row r="277" spans="1:1">
      <c r="A277" t="s">
        <v>502</v>
      </c>
    </row>
    <row r="283" spans="1:1">
      <c r="A283" t="s">
        <v>503</v>
      </c>
    </row>
    <row r="289" spans="1:1">
      <c r="A289" t="s">
        <v>504</v>
      </c>
    </row>
    <row r="295" spans="1:1">
      <c r="A295" t="s">
        <v>505</v>
      </c>
    </row>
    <row r="301" spans="1:1">
      <c r="A301" t="s">
        <v>506</v>
      </c>
    </row>
    <row r="307" spans="1:1">
      <c r="A307" t="s">
        <v>507</v>
      </c>
    </row>
    <row r="313" spans="1:1">
      <c r="A313" t="s">
        <v>508</v>
      </c>
    </row>
    <row r="319" spans="1:1">
      <c r="A319" t="s">
        <v>509</v>
      </c>
    </row>
    <row r="325" spans="1:1">
      <c r="A325" t="s">
        <v>510</v>
      </c>
    </row>
    <row r="331" spans="1:1">
      <c r="A331" t="s">
        <v>511</v>
      </c>
    </row>
    <row r="337" spans="1:1">
      <c r="A337" t="s">
        <v>512</v>
      </c>
    </row>
    <row r="343" spans="1:1">
      <c r="A343" t="s">
        <v>513</v>
      </c>
    </row>
    <row r="349" spans="1:1">
      <c r="A349" t="s">
        <v>514</v>
      </c>
    </row>
    <row r="355" spans="1:1">
      <c r="A355" t="s">
        <v>515</v>
      </c>
    </row>
    <row r="361" spans="1:1">
      <c r="A361" t="s">
        <v>516</v>
      </c>
    </row>
    <row r="367" spans="1:1">
      <c r="A367" t="s">
        <v>517</v>
      </c>
    </row>
    <row r="373" spans="1:1">
      <c r="A373" t="s">
        <v>518</v>
      </c>
    </row>
    <row r="379" spans="1:1">
      <c r="A379" t="s">
        <v>519</v>
      </c>
    </row>
    <row r="385" spans="1:1">
      <c r="A385" t="s">
        <v>520</v>
      </c>
    </row>
    <row r="391" spans="1:1">
      <c r="A391" t="s">
        <v>521</v>
      </c>
    </row>
    <row r="397" spans="1:1">
      <c r="A397" t="s">
        <v>522</v>
      </c>
    </row>
    <row r="403" spans="1:1">
      <c r="A403" t="s">
        <v>523</v>
      </c>
    </row>
    <row r="409" spans="1:1">
      <c r="A409" t="s">
        <v>524</v>
      </c>
    </row>
    <row r="415" spans="1:1">
      <c r="A415" t="s">
        <v>525</v>
      </c>
    </row>
    <row r="421" spans="1:1">
      <c r="A421" t="s">
        <v>526</v>
      </c>
    </row>
    <row r="427" spans="1:1">
      <c r="A427" t="s">
        <v>527</v>
      </c>
    </row>
    <row r="433" spans="1:12">
      <c r="A433" t="s">
        <v>787</v>
      </c>
      <c r="B433" t="s">
        <v>556</v>
      </c>
      <c r="C433" t="s">
        <v>788</v>
      </c>
      <c r="D433">
        <v>0.1</v>
      </c>
      <c r="E433" t="s">
        <v>529</v>
      </c>
      <c r="F433">
        <v>64</v>
      </c>
      <c r="G433" t="s">
        <v>789</v>
      </c>
      <c r="H433" t="b">
        <v>0</v>
      </c>
      <c r="I433" t="s">
        <v>790</v>
      </c>
      <c r="J433">
        <v>0</v>
      </c>
      <c r="K433" t="s">
        <v>530</v>
      </c>
      <c r="L433" t="s">
        <v>531</v>
      </c>
    </row>
    <row r="439" spans="1:12">
      <c r="A439" t="s">
        <v>787</v>
      </c>
      <c r="B439" t="s">
        <v>556</v>
      </c>
      <c r="C439" t="s">
        <v>788</v>
      </c>
      <c r="D439">
        <v>0.1</v>
      </c>
      <c r="E439" t="s">
        <v>529</v>
      </c>
      <c r="F439">
        <v>64</v>
      </c>
      <c r="G439" t="s">
        <v>789</v>
      </c>
      <c r="H439" t="b">
        <v>0</v>
      </c>
      <c r="I439" t="s">
        <v>790</v>
      </c>
      <c r="J439">
        <v>0</v>
      </c>
      <c r="K439" t="s">
        <v>530</v>
      </c>
      <c r="L439" t="s">
        <v>532</v>
      </c>
    </row>
    <row r="445" spans="1:12">
      <c r="A445" t="s">
        <v>787</v>
      </c>
      <c r="B445" t="s">
        <v>556</v>
      </c>
      <c r="C445" t="s">
        <v>788</v>
      </c>
      <c r="D445">
        <v>0.1</v>
      </c>
      <c r="E445" t="s">
        <v>529</v>
      </c>
      <c r="F445">
        <v>64</v>
      </c>
      <c r="G445" t="s">
        <v>789</v>
      </c>
      <c r="H445" t="b">
        <v>0</v>
      </c>
      <c r="I445" t="s">
        <v>790</v>
      </c>
      <c r="J445">
        <v>0.2</v>
      </c>
      <c r="K445" t="s">
        <v>530</v>
      </c>
      <c r="L445" t="s">
        <v>531</v>
      </c>
    </row>
    <row r="451" spans="1:12">
      <c r="A451" t="s">
        <v>787</v>
      </c>
      <c r="B451" t="s">
        <v>556</v>
      </c>
      <c r="C451" t="s">
        <v>788</v>
      </c>
      <c r="D451">
        <v>0.1</v>
      </c>
      <c r="E451" t="s">
        <v>529</v>
      </c>
      <c r="F451">
        <v>64</v>
      </c>
      <c r="G451" t="s">
        <v>789</v>
      </c>
      <c r="H451" t="b">
        <v>0</v>
      </c>
      <c r="I451" t="s">
        <v>790</v>
      </c>
      <c r="J451">
        <v>0.2</v>
      </c>
      <c r="K451" t="s">
        <v>530</v>
      </c>
      <c r="L451" t="s">
        <v>532</v>
      </c>
    </row>
    <row r="457" spans="1:12">
      <c r="A457" t="s">
        <v>787</v>
      </c>
      <c r="B457" t="s">
        <v>556</v>
      </c>
      <c r="C457" t="s">
        <v>788</v>
      </c>
      <c r="D457">
        <v>0.1</v>
      </c>
      <c r="E457" t="s">
        <v>529</v>
      </c>
      <c r="F457">
        <v>128</v>
      </c>
      <c r="G457" t="s">
        <v>789</v>
      </c>
      <c r="H457" t="b">
        <v>0</v>
      </c>
      <c r="I457" t="s">
        <v>790</v>
      </c>
      <c r="J457">
        <v>0</v>
      </c>
      <c r="K457" t="s">
        <v>530</v>
      </c>
      <c r="L457" t="s">
        <v>531</v>
      </c>
    </row>
    <row r="463" spans="1:12">
      <c r="A463" t="s">
        <v>787</v>
      </c>
      <c r="B463" t="s">
        <v>556</v>
      </c>
      <c r="C463" t="s">
        <v>788</v>
      </c>
      <c r="D463">
        <v>0.1</v>
      </c>
      <c r="E463" t="s">
        <v>529</v>
      </c>
      <c r="F463">
        <v>128</v>
      </c>
      <c r="G463" t="s">
        <v>789</v>
      </c>
      <c r="H463" t="b">
        <v>0</v>
      </c>
      <c r="I463" t="s">
        <v>790</v>
      </c>
      <c r="J463">
        <v>0</v>
      </c>
      <c r="K463" t="s">
        <v>530</v>
      </c>
      <c r="L463" t="s">
        <v>532</v>
      </c>
    </row>
    <row r="469" spans="1:12">
      <c r="A469" t="s">
        <v>787</v>
      </c>
      <c r="B469" t="s">
        <v>556</v>
      </c>
      <c r="C469" t="s">
        <v>788</v>
      </c>
      <c r="D469">
        <v>0.1</v>
      </c>
      <c r="E469" t="s">
        <v>529</v>
      </c>
      <c r="F469">
        <v>128</v>
      </c>
      <c r="G469" t="s">
        <v>789</v>
      </c>
      <c r="H469" t="b">
        <v>0</v>
      </c>
      <c r="I469" t="s">
        <v>790</v>
      </c>
      <c r="J469">
        <v>0.2</v>
      </c>
      <c r="K469" t="s">
        <v>530</v>
      </c>
      <c r="L469" t="s">
        <v>531</v>
      </c>
    </row>
    <row r="475" spans="1:12">
      <c r="A475" t="s">
        <v>787</v>
      </c>
      <c r="B475" t="s">
        <v>556</v>
      </c>
      <c r="C475" t="s">
        <v>788</v>
      </c>
      <c r="D475">
        <v>0.1</v>
      </c>
      <c r="E475" t="s">
        <v>529</v>
      </c>
      <c r="F475">
        <v>128</v>
      </c>
      <c r="G475" t="s">
        <v>789</v>
      </c>
      <c r="H475" t="b">
        <v>0</v>
      </c>
      <c r="I475" t="s">
        <v>790</v>
      </c>
      <c r="J475">
        <v>0.2</v>
      </c>
      <c r="K475" t="s">
        <v>530</v>
      </c>
      <c r="L475" t="s">
        <v>532</v>
      </c>
    </row>
    <row r="481" spans="1:12">
      <c r="A481" t="s">
        <v>787</v>
      </c>
      <c r="B481" t="s">
        <v>556</v>
      </c>
      <c r="C481" t="s">
        <v>788</v>
      </c>
      <c r="D481">
        <v>0.1</v>
      </c>
      <c r="E481" t="s">
        <v>529</v>
      </c>
      <c r="F481">
        <v>256</v>
      </c>
      <c r="G481" t="s">
        <v>789</v>
      </c>
      <c r="H481" t="b">
        <v>0</v>
      </c>
      <c r="I481" t="s">
        <v>790</v>
      </c>
      <c r="J481">
        <v>0</v>
      </c>
      <c r="K481" t="s">
        <v>530</v>
      </c>
      <c r="L481" t="s">
        <v>531</v>
      </c>
    </row>
    <row r="487" spans="1:12">
      <c r="A487" t="s">
        <v>787</v>
      </c>
      <c r="B487" t="s">
        <v>556</v>
      </c>
      <c r="C487" t="s">
        <v>788</v>
      </c>
      <c r="D487">
        <v>0.1</v>
      </c>
      <c r="E487" t="s">
        <v>529</v>
      </c>
      <c r="F487">
        <v>256</v>
      </c>
      <c r="G487" t="s">
        <v>789</v>
      </c>
      <c r="H487" t="b">
        <v>0</v>
      </c>
      <c r="I487" t="s">
        <v>790</v>
      </c>
      <c r="J487">
        <v>0</v>
      </c>
      <c r="K487" t="s">
        <v>530</v>
      </c>
      <c r="L487" t="s">
        <v>532</v>
      </c>
    </row>
    <row r="493" spans="1:12">
      <c r="A493" t="s">
        <v>787</v>
      </c>
      <c r="B493" t="s">
        <v>556</v>
      </c>
      <c r="C493" t="s">
        <v>788</v>
      </c>
      <c r="D493">
        <v>0.1</v>
      </c>
      <c r="E493" t="s">
        <v>529</v>
      </c>
      <c r="F493">
        <v>256</v>
      </c>
      <c r="G493" t="s">
        <v>789</v>
      </c>
      <c r="H493" t="b">
        <v>0</v>
      </c>
      <c r="I493" t="s">
        <v>790</v>
      </c>
      <c r="J493">
        <v>0.2</v>
      </c>
      <c r="K493" t="s">
        <v>530</v>
      </c>
      <c r="L493" t="s">
        <v>531</v>
      </c>
    </row>
    <row r="499" spans="1:12">
      <c r="A499" t="s">
        <v>787</v>
      </c>
      <c r="B499" t="s">
        <v>556</v>
      </c>
      <c r="C499" t="s">
        <v>788</v>
      </c>
      <c r="D499">
        <v>0.1</v>
      </c>
      <c r="E499" t="s">
        <v>529</v>
      </c>
      <c r="F499">
        <v>256</v>
      </c>
      <c r="G499" t="s">
        <v>789</v>
      </c>
      <c r="H499" t="b">
        <v>0</v>
      </c>
      <c r="I499" t="s">
        <v>790</v>
      </c>
      <c r="J499">
        <v>0.2</v>
      </c>
      <c r="K499" t="s">
        <v>530</v>
      </c>
      <c r="L499" t="s">
        <v>532</v>
      </c>
    </row>
    <row r="505" spans="1:12">
      <c r="A505" t="s">
        <v>787</v>
      </c>
      <c r="B505" t="s">
        <v>556</v>
      </c>
      <c r="C505" t="s">
        <v>788</v>
      </c>
      <c r="D505">
        <v>0.3</v>
      </c>
      <c r="E505" t="s">
        <v>529</v>
      </c>
      <c r="F505">
        <v>64</v>
      </c>
      <c r="G505" t="s">
        <v>789</v>
      </c>
      <c r="H505" t="b">
        <v>0</v>
      </c>
      <c r="I505" t="s">
        <v>790</v>
      </c>
      <c r="J505">
        <v>0</v>
      </c>
      <c r="K505" t="s">
        <v>530</v>
      </c>
      <c r="L505" t="s">
        <v>531</v>
      </c>
    </row>
    <row r="511" spans="1:12">
      <c r="A511" t="s">
        <v>787</v>
      </c>
      <c r="B511" t="s">
        <v>556</v>
      </c>
      <c r="C511" t="s">
        <v>788</v>
      </c>
      <c r="D511">
        <v>0.3</v>
      </c>
      <c r="E511" t="s">
        <v>529</v>
      </c>
      <c r="F511">
        <v>64</v>
      </c>
      <c r="G511" t="s">
        <v>789</v>
      </c>
      <c r="H511" t="b">
        <v>0</v>
      </c>
      <c r="I511" t="s">
        <v>790</v>
      </c>
      <c r="J511">
        <v>0</v>
      </c>
      <c r="K511" t="s">
        <v>530</v>
      </c>
      <c r="L511" t="s">
        <v>532</v>
      </c>
    </row>
    <row r="517" spans="1:12">
      <c r="A517" t="s">
        <v>787</v>
      </c>
      <c r="B517" t="s">
        <v>556</v>
      </c>
      <c r="C517" t="s">
        <v>788</v>
      </c>
      <c r="D517">
        <v>0.3</v>
      </c>
      <c r="E517" t="s">
        <v>529</v>
      </c>
      <c r="F517">
        <v>64</v>
      </c>
      <c r="G517" t="s">
        <v>789</v>
      </c>
      <c r="H517" t="b">
        <v>0</v>
      </c>
      <c r="I517" t="s">
        <v>790</v>
      </c>
      <c r="J517">
        <v>0.2</v>
      </c>
      <c r="K517" t="s">
        <v>530</v>
      </c>
      <c r="L517" t="s">
        <v>531</v>
      </c>
    </row>
    <row r="523" spans="1:12">
      <c r="A523" t="s">
        <v>787</v>
      </c>
      <c r="B523" t="s">
        <v>556</v>
      </c>
      <c r="C523" t="s">
        <v>788</v>
      </c>
      <c r="D523">
        <v>0.3</v>
      </c>
      <c r="E523" t="s">
        <v>529</v>
      </c>
      <c r="F523">
        <v>64</v>
      </c>
      <c r="G523" t="s">
        <v>789</v>
      </c>
      <c r="H523" t="b">
        <v>0</v>
      </c>
      <c r="I523" t="s">
        <v>790</v>
      </c>
      <c r="J523">
        <v>0.2</v>
      </c>
      <c r="K523" t="s">
        <v>530</v>
      </c>
      <c r="L523" t="s">
        <v>532</v>
      </c>
    </row>
    <row r="529" spans="1:12">
      <c r="A529" t="s">
        <v>787</v>
      </c>
      <c r="B529" t="s">
        <v>556</v>
      </c>
      <c r="C529" t="s">
        <v>788</v>
      </c>
      <c r="D529">
        <v>0.3</v>
      </c>
      <c r="E529" t="s">
        <v>529</v>
      </c>
      <c r="F529">
        <v>128</v>
      </c>
      <c r="G529" t="s">
        <v>789</v>
      </c>
      <c r="H529" t="b">
        <v>0</v>
      </c>
      <c r="I529" t="s">
        <v>790</v>
      </c>
      <c r="J529">
        <v>0</v>
      </c>
      <c r="K529" t="s">
        <v>530</v>
      </c>
      <c r="L529" t="s">
        <v>531</v>
      </c>
    </row>
    <row r="535" spans="1:12">
      <c r="A535" t="s">
        <v>787</v>
      </c>
      <c r="B535" t="s">
        <v>556</v>
      </c>
      <c r="C535" t="s">
        <v>788</v>
      </c>
      <c r="D535">
        <v>0.3</v>
      </c>
      <c r="E535" t="s">
        <v>529</v>
      </c>
      <c r="F535">
        <v>128</v>
      </c>
      <c r="G535" t="s">
        <v>789</v>
      </c>
      <c r="H535" t="b">
        <v>0</v>
      </c>
      <c r="I535" t="s">
        <v>790</v>
      </c>
      <c r="J535">
        <v>0</v>
      </c>
      <c r="K535" t="s">
        <v>530</v>
      </c>
      <c r="L535" t="s">
        <v>532</v>
      </c>
    </row>
    <row r="541" spans="1:12">
      <c r="A541" t="s">
        <v>787</v>
      </c>
      <c r="B541" t="s">
        <v>556</v>
      </c>
      <c r="C541" t="s">
        <v>788</v>
      </c>
      <c r="D541">
        <v>0.3</v>
      </c>
      <c r="E541" t="s">
        <v>529</v>
      </c>
      <c r="F541">
        <v>128</v>
      </c>
      <c r="G541" t="s">
        <v>789</v>
      </c>
      <c r="H541" t="b">
        <v>0</v>
      </c>
      <c r="I541" t="s">
        <v>790</v>
      </c>
      <c r="J541">
        <v>0.2</v>
      </c>
      <c r="K541" t="s">
        <v>530</v>
      </c>
      <c r="L541" t="s">
        <v>531</v>
      </c>
    </row>
    <row r="547" spans="1:12">
      <c r="A547" t="s">
        <v>787</v>
      </c>
      <c r="B547" t="s">
        <v>556</v>
      </c>
      <c r="C547" t="s">
        <v>788</v>
      </c>
      <c r="D547">
        <v>0.3</v>
      </c>
      <c r="E547" t="s">
        <v>529</v>
      </c>
      <c r="F547">
        <v>128</v>
      </c>
      <c r="G547" t="s">
        <v>789</v>
      </c>
      <c r="H547" t="b">
        <v>0</v>
      </c>
      <c r="I547" t="s">
        <v>790</v>
      </c>
      <c r="J547">
        <v>0.2</v>
      </c>
      <c r="K547" t="s">
        <v>530</v>
      </c>
      <c r="L547" t="s">
        <v>532</v>
      </c>
    </row>
    <row r="553" spans="1:12">
      <c r="A553" t="s">
        <v>787</v>
      </c>
      <c r="B553" t="s">
        <v>556</v>
      </c>
      <c r="C553" t="s">
        <v>788</v>
      </c>
      <c r="D553">
        <v>0.3</v>
      </c>
      <c r="E553" t="s">
        <v>529</v>
      </c>
      <c r="F553">
        <v>256</v>
      </c>
      <c r="G553" t="s">
        <v>789</v>
      </c>
      <c r="H553" t="b">
        <v>0</v>
      </c>
      <c r="I553" t="s">
        <v>790</v>
      </c>
      <c r="J553">
        <v>0</v>
      </c>
      <c r="K553" t="s">
        <v>530</v>
      </c>
      <c r="L553" t="s">
        <v>531</v>
      </c>
    </row>
    <row r="559" spans="1:12">
      <c r="A559" t="s">
        <v>787</v>
      </c>
      <c r="B559" t="s">
        <v>556</v>
      </c>
      <c r="C559" t="s">
        <v>788</v>
      </c>
      <c r="D559">
        <v>0.3</v>
      </c>
      <c r="E559" t="s">
        <v>529</v>
      </c>
      <c r="F559">
        <v>256</v>
      </c>
      <c r="G559" t="s">
        <v>789</v>
      </c>
      <c r="H559" t="b">
        <v>0</v>
      </c>
      <c r="I559" t="s">
        <v>790</v>
      </c>
      <c r="J559">
        <v>0</v>
      </c>
      <c r="K559" t="s">
        <v>530</v>
      </c>
      <c r="L559" t="s">
        <v>532</v>
      </c>
    </row>
    <row r="565" spans="1:12">
      <c r="A565" t="s">
        <v>787</v>
      </c>
      <c r="B565" t="s">
        <v>556</v>
      </c>
      <c r="C565" t="s">
        <v>788</v>
      </c>
      <c r="D565">
        <v>0.3</v>
      </c>
      <c r="E565" t="s">
        <v>529</v>
      </c>
      <c r="F565">
        <v>256</v>
      </c>
      <c r="G565" t="s">
        <v>789</v>
      </c>
      <c r="H565" t="b">
        <v>0</v>
      </c>
      <c r="I565" t="s">
        <v>790</v>
      </c>
      <c r="J565">
        <v>0.2</v>
      </c>
      <c r="K565" t="s">
        <v>530</v>
      </c>
      <c r="L565" t="s">
        <v>531</v>
      </c>
    </row>
    <row r="571" spans="1:12">
      <c r="A571" t="s">
        <v>787</v>
      </c>
      <c r="B571" t="s">
        <v>556</v>
      </c>
      <c r="C571" t="s">
        <v>788</v>
      </c>
      <c r="D571">
        <v>0.3</v>
      </c>
      <c r="E571" t="s">
        <v>529</v>
      </c>
      <c r="F571">
        <v>256</v>
      </c>
      <c r="G571" t="s">
        <v>789</v>
      </c>
      <c r="H571" t="b">
        <v>0</v>
      </c>
      <c r="I571" t="s">
        <v>790</v>
      </c>
      <c r="J571">
        <v>0.2</v>
      </c>
      <c r="K571" t="s">
        <v>530</v>
      </c>
      <c r="L571" t="s">
        <v>532</v>
      </c>
    </row>
    <row r="577" spans="1:12">
      <c r="A577" t="s">
        <v>787</v>
      </c>
      <c r="B577" t="s">
        <v>556</v>
      </c>
      <c r="C577" t="s">
        <v>788</v>
      </c>
      <c r="D577">
        <v>0.5</v>
      </c>
      <c r="E577" t="s">
        <v>529</v>
      </c>
      <c r="F577">
        <v>64</v>
      </c>
      <c r="G577" t="s">
        <v>789</v>
      </c>
      <c r="H577" t="b">
        <v>0</v>
      </c>
      <c r="I577" t="s">
        <v>790</v>
      </c>
      <c r="J577">
        <v>0</v>
      </c>
      <c r="K577" t="s">
        <v>530</v>
      </c>
      <c r="L577" t="s">
        <v>531</v>
      </c>
    </row>
    <row r="583" spans="1:12">
      <c r="A583" t="s">
        <v>787</v>
      </c>
      <c r="B583" t="s">
        <v>556</v>
      </c>
      <c r="C583" t="s">
        <v>788</v>
      </c>
      <c r="D583">
        <v>0.5</v>
      </c>
      <c r="E583" t="s">
        <v>529</v>
      </c>
      <c r="F583">
        <v>64</v>
      </c>
      <c r="G583" t="s">
        <v>789</v>
      </c>
      <c r="H583" t="b">
        <v>0</v>
      </c>
      <c r="I583" t="s">
        <v>790</v>
      </c>
      <c r="J583">
        <v>0</v>
      </c>
      <c r="K583" t="s">
        <v>530</v>
      </c>
      <c r="L583" t="s">
        <v>532</v>
      </c>
    </row>
    <row r="589" spans="1:12">
      <c r="A589" t="s">
        <v>787</v>
      </c>
      <c r="B589" t="s">
        <v>556</v>
      </c>
      <c r="C589" t="s">
        <v>788</v>
      </c>
      <c r="D589">
        <v>0.5</v>
      </c>
      <c r="E589" t="s">
        <v>529</v>
      </c>
      <c r="F589">
        <v>64</v>
      </c>
      <c r="G589" t="s">
        <v>789</v>
      </c>
      <c r="H589" t="b">
        <v>0</v>
      </c>
      <c r="I589" t="s">
        <v>790</v>
      </c>
      <c r="J589">
        <v>0.2</v>
      </c>
      <c r="K589" t="s">
        <v>530</v>
      </c>
      <c r="L589" t="s">
        <v>531</v>
      </c>
    </row>
    <row r="595" spans="1:12">
      <c r="A595" t="s">
        <v>787</v>
      </c>
      <c r="B595" t="s">
        <v>556</v>
      </c>
      <c r="C595" t="s">
        <v>788</v>
      </c>
      <c r="D595">
        <v>0.5</v>
      </c>
      <c r="E595" t="s">
        <v>529</v>
      </c>
      <c r="F595">
        <v>64</v>
      </c>
      <c r="G595" t="s">
        <v>789</v>
      </c>
      <c r="H595" t="b">
        <v>0</v>
      </c>
      <c r="I595" t="s">
        <v>790</v>
      </c>
      <c r="J595">
        <v>0.2</v>
      </c>
      <c r="K595" t="s">
        <v>530</v>
      </c>
      <c r="L595" t="s">
        <v>532</v>
      </c>
    </row>
    <row r="601" spans="1:12">
      <c r="A601" t="s">
        <v>787</v>
      </c>
      <c r="B601" t="s">
        <v>556</v>
      </c>
      <c r="C601" t="s">
        <v>788</v>
      </c>
      <c r="D601">
        <v>0.5</v>
      </c>
      <c r="E601" t="s">
        <v>529</v>
      </c>
      <c r="F601">
        <v>128</v>
      </c>
      <c r="G601" t="s">
        <v>789</v>
      </c>
      <c r="H601" t="b">
        <v>0</v>
      </c>
      <c r="I601" t="s">
        <v>790</v>
      </c>
      <c r="J601">
        <v>0</v>
      </c>
      <c r="K601" t="s">
        <v>530</v>
      </c>
      <c r="L601" t="s">
        <v>531</v>
      </c>
    </row>
    <row r="607" spans="1:12">
      <c r="A607" t="s">
        <v>787</v>
      </c>
      <c r="B607" t="s">
        <v>556</v>
      </c>
      <c r="C607" t="s">
        <v>788</v>
      </c>
      <c r="D607">
        <v>0.5</v>
      </c>
      <c r="E607" t="s">
        <v>529</v>
      </c>
      <c r="F607">
        <v>128</v>
      </c>
      <c r="G607" t="s">
        <v>789</v>
      </c>
      <c r="H607" t="b">
        <v>0</v>
      </c>
      <c r="I607" t="s">
        <v>790</v>
      </c>
      <c r="J607">
        <v>0</v>
      </c>
      <c r="K607" t="s">
        <v>530</v>
      </c>
      <c r="L607" t="s">
        <v>532</v>
      </c>
    </row>
    <row r="613" spans="1:12">
      <c r="A613" t="s">
        <v>787</v>
      </c>
      <c r="B613" t="s">
        <v>556</v>
      </c>
      <c r="C613" t="s">
        <v>788</v>
      </c>
      <c r="D613">
        <v>0.5</v>
      </c>
      <c r="E613" t="s">
        <v>529</v>
      </c>
      <c r="F613">
        <v>128</v>
      </c>
      <c r="G613" t="s">
        <v>789</v>
      </c>
      <c r="H613" t="b">
        <v>0</v>
      </c>
      <c r="I613" t="s">
        <v>790</v>
      </c>
      <c r="J613">
        <v>0.2</v>
      </c>
      <c r="K613" t="s">
        <v>530</v>
      </c>
      <c r="L613" t="s">
        <v>531</v>
      </c>
    </row>
    <row r="619" spans="1:12">
      <c r="A619" t="s">
        <v>787</v>
      </c>
      <c r="B619" t="s">
        <v>556</v>
      </c>
      <c r="C619" t="s">
        <v>788</v>
      </c>
      <c r="D619">
        <v>0.5</v>
      </c>
      <c r="E619" t="s">
        <v>529</v>
      </c>
      <c r="F619">
        <v>128</v>
      </c>
      <c r="G619" t="s">
        <v>789</v>
      </c>
      <c r="H619" t="b">
        <v>0</v>
      </c>
      <c r="I619" t="s">
        <v>790</v>
      </c>
      <c r="J619">
        <v>0.2</v>
      </c>
      <c r="K619" t="s">
        <v>530</v>
      </c>
      <c r="L619" t="s">
        <v>532</v>
      </c>
    </row>
    <row r="625" spans="1:12">
      <c r="A625" t="s">
        <v>787</v>
      </c>
      <c r="B625" t="s">
        <v>556</v>
      </c>
      <c r="C625" t="s">
        <v>788</v>
      </c>
      <c r="D625">
        <v>0.5</v>
      </c>
      <c r="E625" t="s">
        <v>529</v>
      </c>
      <c r="F625">
        <v>256</v>
      </c>
      <c r="G625" t="s">
        <v>789</v>
      </c>
      <c r="H625" t="b">
        <v>0</v>
      </c>
      <c r="I625" t="s">
        <v>790</v>
      </c>
      <c r="J625">
        <v>0</v>
      </c>
      <c r="K625" t="s">
        <v>530</v>
      </c>
      <c r="L625" t="s">
        <v>531</v>
      </c>
    </row>
    <row r="631" spans="1:12">
      <c r="A631" t="s">
        <v>787</v>
      </c>
      <c r="B631" t="s">
        <v>556</v>
      </c>
      <c r="C631" t="s">
        <v>788</v>
      </c>
      <c r="D631">
        <v>0.5</v>
      </c>
      <c r="E631" t="s">
        <v>529</v>
      </c>
      <c r="F631">
        <v>256</v>
      </c>
      <c r="G631" t="s">
        <v>789</v>
      </c>
      <c r="H631" t="b">
        <v>0</v>
      </c>
      <c r="I631" t="s">
        <v>790</v>
      </c>
      <c r="J631">
        <v>0</v>
      </c>
      <c r="K631" t="s">
        <v>530</v>
      </c>
      <c r="L631" t="s">
        <v>532</v>
      </c>
    </row>
    <row r="637" spans="1:12">
      <c r="A637" t="s">
        <v>787</v>
      </c>
      <c r="B637" t="s">
        <v>556</v>
      </c>
      <c r="C637" t="s">
        <v>788</v>
      </c>
      <c r="D637">
        <v>0.5</v>
      </c>
      <c r="E637" t="s">
        <v>529</v>
      </c>
      <c r="F637">
        <v>256</v>
      </c>
      <c r="G637" t="s">
        <v>789</v>
      </c>
      <c r="H637" t="b">
        <v>0</v>
      </c>
      <c r="I637" t="s">
        <v>790</v>
      </c>
      <c r="J637">
        <v>0.2</v>
      </c>
      <c r="K637" t="s">
        <v>530</v>
      </c>
      <c r="L637" t="s">
        <v>531</v>
      </c>
    </row>
    <row r="643" spans="1:12">
      <c r="A643" t="s">
        <v>787</v>
      </c>
      <c r="B643" t="s">
        <v>556</v>
      </c>
      <c r="C643" t="s">
        <v>788</v>
      </c>
      <c r="D643">
        <v>0.5</v>
      </c>
      <c r="E643" t="s">
        <v>529</v>
      </c>
      <c r="F643">
        <v>256</v>
      </c>
      <c r="G643" t="s">
        <v>789</v>
      </c>
      <c r="H643" t="b">
        <v>0</v>
      </c>
      <c r="I643" t="s">
        <v>790</v>
      </c>
      <c r="J643">
        <v>0.2</v>
      </c>
      <c r="K643" t="s">
        <v>530</v>
      </c>
      <c r="L643" t="s">
        <v>532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L23"/>
  <sheetViews>
    <sheetView workbookViewId="0">
      <selection activeCell="A4" sqref="A4:K22"/>
    </sheetView>
  </sheetViews>
  <sheetFormatPr baseColWidth="10" defaultRowHeight="15" x14ac:dyDescent="0"/>
  <cols>
    <col min="1" max="1" width="13" bestFit="1" customWidth="1"/>
    <col min="2" max="2" width="23.83203125" bestFit="1" customWidth="1"/>
    <col min="3" max="3" width="23.83203125" customWidth="1"/>
    <col min="4" max="4" width="24" bestFit="1" customWidth="1"/>
    <col min="5" max="5" width="23.83203125" bestFit="1" customWidth="1"/>
    <col min="6" max="6" width="23.83203125" customWidth="1"/>
    <col min="7" max="8" width="23.83203125" bestFit="1" customWidth="1"/>
    <col min="9" max="9" width="24.6640625" customWidth="1"/>
    <col min="10" max="10" width="24.1640625" bestFit="1" customWidth="1"/>
    <col min="11" max="11" width="25.1640625" bestFit="1" customWidth="1"/>
    <col min="12" max="12" width="10.83203125" bestFit="1" customWidth="1"/>
    <col min="13" max="13" width="10.1640625" bestFit="1" customWidth="1"/>
    <col min="14" max="14" width="23.83203125" customWidth="1"/>
    <col min="15" max="15" width="10.1640625" customWidth="1"/>
    <col min="16" max="16" width="24.6640625" bestFit="1" customWidth="1"/>
    <col min="17" max="17" width="10.1640625" bestFit="1" customWidth="1"/>
    <col min="18" max="18" width="24.1640625" bestFit="1" customWidth="1"/>
    <col min="19" max="19" width="10.1640625" bestFit="1" customWidth="1"/>
    <col min="20" max="20" width="15.5" bestFit="1" customWidth="1"/>
    <col min="21" max="21" width="14.83203125" bestFit="1" customWidth="1"/>
    <col min="22" max="22" width="13.6640625" customWidth="1"/>
    <col min="23" max="23" width="24.6640625" bestFit="1" customWidth="1"/>
    <col min="24" max="24" width="10.1640625" customWidth="1"/>
    <col min="25" max="25" width="13.6640625" customWidth="1"/>
    <col min="26" max="26" width="24.1640625" customWidth="1"/>
    <col min="27" max="27" width="10.1640625" customWidth="1"/>
    <col min="28" max="28" width="13.6640625" customWidth="1"/>
    <col min="29" max="29" width="15.5" customWidth="1"/>
    <col min="30" max="30" width="14.83203125" customWidth="1"/>
    <col min="31" max="31" width="18.1640625" bestFit="1" customWidth="1"/>
  </cols>
  <sheetData>
    <row r="3" spans="1:12">
      <c r="A3" s="3" t="s">
        <v>846</v>
      </c>
      <c r="B3" s="3" t="s">
        <v>845</v>
      </c>
    </row>
    <row r="4" spans="1:12">
      <c r="A4" s="3" t="s">
        <v>7</v>
      </c>
      <c r="B4" t="s">
        <v>828</v>
      </c>
      <c r="C4" t="s">
        <v>832</v>
      </c>
      <c r="D4" t="s">
        <v>824</v>
      </c>
      <c r="E4" t="s">
        <v>831</v>
      </c>
      <c r="F4" t="s">
        <v>826</v>
      </c>
      <c r="G4" t="s">
        <v>827</v>
      </c>
      <c r="H4" t="s">
        <v>825</v>
      </c>
      <c r="I4" t="s">
        <v>829</v>
      </c>
      <c r="J4" t="s">
        <v>830</v>
      </c>
      <c r="K4" t="s">
        <v>866</v>
      </c>
      <c r="L4" t="s">
        <v>8</v>
      </c>
    </row>
    <row r="5" spans="1:12">
      <c r="A5" s="4" t="s">
        <v>847</v>
      </c>
      <c r="B5" s="2">
        <v>0.39340000000000003</v>
      </c>
      <c r="C5" s="2">
        <v>0.4042</v>
      </c>
      <c r="D5" s="2">
        <v>0.40460000000000002</v>
      </c>
      <c r="E5" s="2">
        <v>0.3846</v>
      </c>
      <c r="F5" s="2">
        <v>0.39040000000000002</v>
      </c>
      <c r="G5" s="2">
        <v>0.39079999999999998</v>
      </c>
      <c r="H5" s="2">
        <v>0.37659999999999999</v>
      </c>
      <c r="I5" s="2">
        <v>0.33479999999999999</v>
      </c>
      <c r="J5" s="2">
        <v>0.38159999999999999</v>
      </c>
      <c r="K5" s="2">
        <v>0.3962</v>
      </c>
      <c r="L5" s="2">
        <v>3.8572000000000002</v>
      </c>
    </row>
    <row r="6" spans="1:12">
      <c r="A6" s="4" t="s">
        <v>848</v>
      </c>
      <c r="B6" s="2">
        <v>0.48459999999999998</v>
      </c>
      <c r="C6" s="2">
        <v>0.4728</v>
      </c>
      <c r="D6" s="2">
        <v>0.4904</v>
      </c>
      <c r="E6" s="2">
        <v>0.48320000000000002</v>
      </c>
      <c r="F6" s="2">
        <v>0.47339999999999999</v>
      </c>
      <c r="G6" s="2">
        <v>0.45400000000000001</v>
      </c>
      <c r="H6" s="2">
        <v>0.44440000000000002</v>
      </c>
      <c r="I6" s="2">
        <v>0.41980000000000001</v>
      </c>
      <c r="J6" s="2">
        <v>0.45679999999999998</v>
      </c>
      <c r="K6" s="2">
        <v>0.49320000000000003</v>
      </c>
      <c r="L6" s="2">
        <v>4.6726000000000001</v>
      </c>
    </row>
    <row r="7" spans="1:12">
      <c r="A7" s="4" t="s">
        <v>849</v>
      </c>
      <c r="B7" s="2">
        <v>0.54300000000000004</v>
      </c>
      <c r="C7" s="2">
        <v>0.53339999999999999</v>
      </c>
      <c r="D7" s="2">
        <v>0.54759999999999998</v>
      </c>
      <c r="E7" s="2">
        <v>0.53039999999999998</v>
      </c>
      <c r="F7" s="2">
        <v>0.52300000000000002</v>
      </c>
      <c r="G7" s="2">
        <v>0.51239999999999997</v>
      </c>
      <c r="H7" s="2">
        <v>0.51600000000000001</v>
      </c>
      <c r="I7" s="2">
        <v>0.47860000000000003</v>
      </c>
      <c r="J7" s="2">
        <v>0.51719999999999999</v>
      </c>
      <c r="K7" s="2">
        <v>0.52259999999999995</v>
      </c>
      <c r="L7" s="2">
        <v>5.2241999999999997</v>
      </c>
    </row>
    <row r="8" spans="1:12">
      <c r="A8" s="4" t="s">
        <v>850</v>
      </c>
      <c r="B8" s="2">
        <v>0.5696</v>
      </c>
      <c r="C8" s="2">
        <v>0.55900000000000005</v>
      </c>
      <c r="D8" s="2">
        <v>0.59160000000000001</v>
      </c>
      <c r="E8" s="2">
        <v>0.56159999999999999</v>
      </c>
      <c r="F8" s="2">
        <v>0.54620000000000002</v>
      </c>
      <c r="G8" s="2">
        <v>0.53559999999999997</v>
      </c>
      <c r="H8" s="2">
        <v>0.53739999999999999</v>
      </c>
      <c r="I8" s="2">
        <v>0.51680000000000004</v>
      </c>
      <c r="J8" s="2">
        <v>0.52959999999999996</v>
      </c>
      <c r="K8" s="2">
        <v>0.54300000000000004</v>
      </c>
      <c r="L8" s="2">
        <v>5.4904000000000011</v>
      </c>
    </row>
    <row r="9" spans="1:12">
      <c r="A9" s="4" t="s">
        <v>851</v>
      </c>
      <c r="B9" s="2">
        <v>0.57899999999999996</v>
      </c>
      <c r="C9" s="2">
        <v>0.58899999999999997</v>
      </c>
      <c r="D9" s="2">
        <v>0.58879999999999999</v>
      </c>
      <c r="E9" s="2">
        <v>0.57699999999999996</v>
      </c>
      <c r="F9" s="2">
        <v>0.57479999999999998</v>
      </c>
      <c r="G9" s="2">
        <v>0.57220000000000004</v>
      </c>
      <c r="H9" s="2">
        <v>0.57620000000000005</v>
      </c>
      <c r="I9" s="2">
        <v>0.53420000000000001</v>
      </c>
      <c r="J9" s="2">
        <v>0.53320000000000001</v>
      </c>
      <c r="K9" s="2">
        <v>0.56640000000000001</v>
      </c>
      <c r="L9" s="2">
        <v>5.6908000000000003</v>
      </c>
    </row>
    <row r="10" spans="1:12">
      <c r="A10" s="4" t="s">
        <v>852</v>
      </c>
      <c r="B10" s="2">
        <v>0.59179999999999999</v>
      </c>
      <c r="C10" s="2">
        <v>0.59299999999999997</v>
      </c>
      <c r="D10" s="2">
        <v>0.59899999999999998</v>
      </c>
      <c r="E10" s="2">
        <v>0.58620000000000005</v>
      </c>
      <c r="F10" s="2">
        <v>0.59399999999999997</v>
      </c>
      <c r="G10" s="2">
        <v>0.58220000000000005</v>
      </c>
      <c r="H10" s="2">
        <v>0.5786</v>
      </c>
      <c r="I10" s="2">
        <v>0.54959999999999998</v>
      </c>
      <c r="J10" s="2">
        <v>0.56979999999999997</v>
      </c>
      <c r="K10" s="2">
        <v>0.59199999999999997</v>
      </c>
      <c r="L10" s="2">
        <v>5.8361999999999989</v>
      </c>
    </row>
    <row r="11" spans="1:12">
      <c r="A11" s="4" t="s">
        <v>853</v>
      </c>
      <c r="B11" s="2">
        <v>0.6038</v>
      </c>
      <c r="C11" s="2">
        <v>0.5948</v>
      </c>
      <c r="D11" s="2">
        <v>0.61319999999999997</v>
      </c>
      <c r="E11" s="2">
        <v>0.6018</v>
      </c>
      <c r="F11" s="2">
        <v>0.59560000000000002</v>
      </c>
      <c r="G11" s="2">
        <v>0.60240000000000005</v>
      </c>
      <c r="H11" s="2">
        <v>0.58860000000000001</v>
      </c>
      <c r="I11" s="2">
        <v>0.56340000000000001</v>
      </c>
      <c r="J11" s="2">
        <v>0.57699999999999996</v>
      </c>
      <c r="K11" s="2">
        <v>0.59060000000000001</v>
      </c>
      <c r="L11" s="2">
        <v>5.9312000000000005</v>
      </c>
    </row>
    <row r="12" spans="1:12">
      <c r="A12" s="4" t="s">
        <v>854</v>
      </c>
      <c r="B12" s="2">
        <v>0.60580000000000001</v>
      </c>
      <c r="C12" s="2">
        <v>0.60799999999999998</v>
      </c>
      <c r="D12" s="2">
        <v>0.60319999999999996</v>
      </c>
      <c r="E12" s="2">
        <v>0.59919999999999995</v>
      </c>
      <c r="F12" s="2">
        <v>0.58819999999999995</v>
      </c>
      <c r="G12" s="2">
        <v>0.60160000000000002</v>
      </c>
      <c r="H12" s="2">
        <v>0.60219999999999996</v>
      </c>
      <c r="I12" s="2">
        <v>0.57999999999999996</v>
      </c>
      <c r="J12" s="2">
        <v>0.58819999999999995</v>
      </c>
      <c r="K12" s="2">
        <v>0.59379999999999999</v>
      </c>
      <c r="L12" s="2">
        <v>5.9701999999999993</v>
      </c>
    </row>
    <row r="13" spans="1:12">
      <c r="A13" s="4" t="s">
        <v>855</v>
      </c>
      <c r="B13" s="2">
        <v>0.6038</v>
      </c>
      <c r="C13" s="2">
        <v>0.60019999999999996</v>
      </c>
      <c r="D13" s="2">
        <v>0.60440000000000005</v>
      </c>
      <c r="E13" s="2">
        <v>0.6</v>
      </c>
      <c r="F13" s="2">
        <v>0.60019999999999996</v>
      </c>
      <c r="G13" s="2">
        <v>0.60499999999999998</v>
      </c>
      <c r="H13" s="2">
        <v>0.60519999999999996</v>
      </c>
      <c r="I13" s="2">
        <v>0.59079999999999999</v>
      </c>
      <c r="J13" s="2">
        <v>0.5736</v>
      </c>
      <c r="K13" s="2">
        <v>0.59940000000000004</v>
      </c>
      <c r="L13" s="2">
        <v>5.9825999999999997</v>
      </c>
    </row>
    <row r="14" spans="1:12">
      <c r="A14" s="4" t="s">
        <v>836</v>
      </c>
      <c r="B14" s="2">
        <v>0.60640000000000005</v>
      </c>
      <c r="C14" s="2">
        <v>0.60899999999999999</v>
      </c>
      <c r="D14" s="2">
        <v>0.62019999999999997</v>
      </c>
      <c r="E14" s="2">
        <v>0.61</v>
      </c>
      <c r="F14" s="2">
        <v>0.61060000000000003</v>
      </c>
      <c r="G14" s="2">
        <v>0.60880000000000001</v>
      </c>
      <c r="H14" s="2">
        <v>0.61040000000000005</v>
      </c>
      <c r="I14" s="2">
        <v>0.59819999999999995</v>
      </c>
      <c r="J14" s="2">
        <v>0.58199999999999996</v>
      </c>
      <c r="K14" s="2">
        <v>0.60040000000000004</v>
      </c>
      <c r="L14" s="2">
        <v>6.0559999999999992</v>
      </c>
    </row>
    <row r="15" spans="1:12">
      <c r="A15" s="4" t="s">
        <v>837</v>
      </c>
      <c r="B15" s="2">
        <v>0.60919999999999996</v>
      </c>
      <c r="C15" s="2">
        <v>0.60340000000000005</v>
      </c>
      <c r="D15" s="2">
        <v>0.61339999999999995</v>
      </c>
      <c r="E15" s="2">
        <v>0.61199999999999999</v>
      </c>
      <c r="F15" s="2">
        <v>0.59819999999999995</v>
      </c>
      <c r="G15" s="2">
        <v>0.61260000000000003</v>
      </c>
      <c r="H15" s="2">
        <v>0.60219999999999996</v>
      </c>
      <c r="I15" s="2">
        <v>0.59460000000000002</v>
      </c>
      <c r="J15" s="2">
        <v>0.58640000000000003</v>
      </c>
      <c r="K15" s="2">
        <v>0.59819999999999995</v>
      </c>
      <c r="L15" s="2">
        <v>6.0302000000000007</v>
      </c>
    </row>
    <row r="16" spans="1:12">
      <c r="A16" s="4" t="s">
        <v>838</v>
      </c>
      <c r="B16" s="2">
        <v>0.6038</v>
      </c>
      <c r="C16" s="2">
        <v>0.60399999999999998</v>
      </c>
      <c r="D16" s="2">
        <v>0.62119999999999997</v>
      </c>
      <c r="E16" s="2">
        <v>0.61739999999999995</v>
      </c>
      <c r="F16" s="2">
        <v>0.61799999999999999</v>
      </c>
      <c r="G16" s="2">
        <v>0.60660000000000003</v>
      </c>
      <c r="H16" s="2">
        <v>0.61339999999999995</v>
      </c>
      <c r="I16" s="2">
        <v>0.59499999999999997</v>
      </c>
      <c r="J16" s="2">
        <v>0.59219999999999995</v>
      </c>
      <c r="K16" s="2">
        <v>0.60399999999999998</v>
      </c>
      <c r="L16" s="2">
        <v>6.0755999999999997</v>
      </c>
    </row>
    <row r="17" spans="1:12">
      <c r="A17" s="4" t="s">
        <v>839</v>
      </c>
      <c r="B17" s="2">
        <v>0.60699999999999998</v>
      </c>
      <c r="C17" s="2">
        <v>0.61099999999999999</v>
      </c>
      <c r="D17" s="2">
        <v>0.61119999999999997</v>
      </c>
      <c r="E17" s="2">
        <v>0.61419999999999997</v>
      </c>
      <c r="F17" s="2">
        <v>0.60440000000000005</v>
      </c>
      <c r="G17" s="2">
        <v>0.61019999999999996</v>
      </c>
      <c r="H17" s="2">
        <v>0.60499999999999998</v>
      </c>
      <c r="I17" s="2">
        <v>0.60360000000000003</v>
      </c>
      <c r="J17" s="2">
        <v>0.58320000000000005</v>
      </c>
      <c r="K17" s="2">
        <v>0.58879999999999999</v>
      </c>
      <c r="L17" s="2">
        <v>6.0385999999999997</v>
      </c>
    </row>
    <row r="18" spans="1:12">
      <c r="A18" s="4" t="s">
        <v>840</v>
      </c>
      <c r="B18" s="2">
        <v>0.6018</v>
      </c>
      <c r="C18" s="2">
        <v>0.60499999999999998</v>
      </c>
      <c r="D18" s="2">
        <v>0.61060000000000003</v>
      </c>
      <c r="E18" s="2">
        <v>0.61680000000000001</v>
      </c>
      <c r="F18" s="2">
        <v>0.60860000000000003</v>
      </c>
      <c r="G18" s="2">
        <v>0.61160000000000003</v>
      </c>
      <c r="H18" s="2">
        <v>0.61360000000000003</v>
      </c>
      <c r="I18" s="2">
        <v>0.5978</v>
      </c>
      <c r="J18" s="2">
        <v>0.57940000000000003</v>
      </c>
      <c r="K18" s="2">
        <v>0.6</v>
      </c>
      <c r="L18" s="2">
        <v>6.0451999999999995</v>
      </c>
    </row>
    <row r="19" spans="1:12">
      <c r="A19" s="4" t="s">
        <v>841</v>
      </c>
      <c r="B19" s="2">
        <v>0.59619999999999995</v>
      </c>
      <c r="C19" s="2">
        <v>0.60680000000000001</v>
      </c>
      <c r="D19" s="2">
        <v>0.61119999999999997</v>
      </c>
      <c r="E19" s="2">
        <v>0.623</v>
      </c>
      <c r="F19" s="2">
        <v>0.61119999999999997</v>
      </c>
      <c r="G19" s="2">
        <v>0.61560000000000004</v>
      </c>
      <c r="H19" s="2">
        <v>0.61260000000000003</v>
      </c>
      <c r="I19" s="2">
        <v>0.60419999999999996</v>
      </c>
      <c r="J19" s="2">
        <v>0.59360000000000002</v>
      </c>
      <c r="K19" s="2">
        <v>0.60160000000000002</v>
      </c>
      <c r="L19" s="2">
        <v>6.0760000000000005</v>
      </c>
    </row>
    <row r="20" spans="1:12">
      <c r="A20" s="4" t="s">
        <v>842</v>
      </c>
      <c r="B20" s="2">
        <v>0.59599999999999997</v>
      </c>
      <c r="C20" s="2">
        <v>0.61260000000000003</v>
      </c>
      <c r="D20" s="2">
        <v>0.6038</v>
      </c>
      <c r="E20" s="2">
        <v>0.62119999999999997</v>
      </c>
      <c r="F20" s="2">
        <v>0.60880000000000001</v>
      </c>
      <c r="G20" s="2">
        <v>0.61660000000000004</v>
      </c>
      <c r="H20" s="2">
        <v>0.61839999999999995</v>
      </c>
      <c r="I20" s="2">
        <v>0.61339999999999995</v>
      </c>
      <c r="J20" s="2">
        <v>0.59060000000000001</v>
      </c>
      <c r="K20" s="2">
        <v>0.60580000000000001</v>
      </c>
      <c r="L20" s="2">
        <v>6.0872000000000011</v>
      </c>
    </row>
    <row r="21" spans="1:12">
      <c r="A21" s="4" t="s">
        <v>843</v>
      </c>
      <c r="B21" s="2">
        <v>0.59760000000000002</v>
      </c>
      <c r="C21" s="2">
        <v>0.60360000000000003</v>
      </c>
      <c r="D21" s="2">
        <v>0.60199999999999998</v>
      </c>
      <c r="E21" s="2">
        <v>0.61160000000000003</v>
      </c>
      <c r="F21" s="2">
        <v>0.61439999999999995</v>
      </c>
      <c r="G21" s="2">
        <v>0.60740000000000005</v>
      </c>
      <c r="H21" s="2">
        <v>0.61599999999999999</v>
      </c>
      <c r="I21" s="2">
        <v>0.60499999999999998</v>
      </c>
      <c r="J21" s="2">
        <v>0.59019999999999995</v>
      </c>
      <c r="K21" s="2">
        <v>0.60899999999999999</v>
      </c>
      <c r="L21" s="2">
        <v>6.0568</v>
      </c>
    </row>
    <row r="22" spans="1:12">
      <c r="A22" s="4" t="s">
        <v>844</v>
      </c>
      <c r="B22" s="2">
        <v>0.59340000000000004</v>
      </c>
      <c r="C22" s="2">
        <v>0.6018</v>
      </c>
      <c r="D22" s="2">
        <v>0.59740000000000004</v>
      </c>
      <c r="E22" s="2">
        <v>0.60660000000000003</v>
      </c>
      <c r="F22" s="2">
        <v>0.60680000000000001</v>
      </c>
      <c r="G22" s="2">
        <v>0.61880000000000002</v>
      </c>
      <c r="H22" s="2">
        <v>0.61780000000000002</v>
      </c>
      <c r="I22" s="2">
        <v>0.60619999999999996</v>
      </c>
      <c r="J22" s="2">
        <v>0.58199999999999996</v>
      </c>
      <c r="K22" s="2">
        <v>0.59840000000000004</v>
      </c>
      <c r="L22" s="2">
        <v>6.0292000000000003</v>
      </c>
    </row>
    <row r="23" spans="1:12">
      <c r="A23" s="4" t="s">
        <v>8</v>
      </c>
      <c r="B23" s="2">
        <v>10.386200000000001</v>
      </c>
      <c r="C23" s="2">
        <v>10.4116</v>
      </c>
      <c r="D23" s="2">
        <v>10.533800000000001</v>
      </c>
      <c r="E23" s="2">
        <v>10.456799999999999</v>
      </c>
      <c r="F23" s="2">
        <v>10.3668</v>
      </c>
      <c r="G23" s="2">
        <v>10.364400000000003</v>
      </c>
      <c r="H23" s="2">
        <v>10.334600000000002</v>
      </c>
      <c r="I23" s="2">
        <v>9.9860000000000007</v>
      </c>
      <c r="J23" s="2">
        <v>10.006599999999999</v>
      </c>
      <c r="K23" s="2">
        <v>10.3034</v>
      </c>
      <c r="L23" s="2">
        <v>103.15019999999997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81"/>
  <sheetViews>
    <sheetView topLeftCell="H28" workbookViewId="0">
      <selection activeCell="R49" sqref="R49"/>
    </sheetView>
  </sheetViews>
  <sheetFormatPr baseColWidth="10" defaultRowHeight="15" x14ac:dyDescent="0"/>
  <cols>
    <col min="1" max="1" width="24.6640625" bestFit="1" customWidth="1"/>
    <col min="2" max="2" width="5.33203125" bestFit="1" customWidth="1"/>
    <col min="3" max="3" width="9.1640625" bestFit="1" customWidth="1"/>
    <col min="4" max="4" width="9" bestFit="1" customWidth="1"/>
    <col min="5" max="6" width="7.1640625" bestFit="1" customWidth="1"/>
    <col min="10" max="14" width="18.33203125" customWidth="1"/>
    <col min="15" max="16" width="13" customWidth="1"/>
    <col min="17" max="17" width="12.1640625" customWidth="1"/>
  </cols>
  <sheetData>
    <row r="1" spans="1:19">
      <c r="A1" t="s">
        <v>833</v>
      </c>
      <c r="B1" t="s">
        <v>533</v>
      </c>
      <c r="C1" t="s">
        <v>834</v>
      </c>
      <c r="D1" t="s">
        <v>835</v>
      </c>
      <c r="E1" t="s">
        <v>534</v>
      </c>
      <c r="F1" t="s">
        <v>535</v>
      </c>
      <c r="G1" t="s">
        <v>6</v>
      </c>
      <c r="I1" t="s">
        <v>856</v>
      </c>
      <c r="J1" t="s">
        <v>863</v>
      </c>
      <c r="K1" t="s">
        <v>861</v>
      </c>
      <c r="L1" t="s">
        <v>858</v>
      </c>
      <c r="M1" t="s">
        <v>860</v>
      </c>
      <c r="N1" t="s">
        <v>862</v>
      </c>
      <c r="O1" t="s">
        <v>859</v>
      </c>
      <c r="P1" t="s">
        <v>864</v>
      </c>
      <c r="Q1" t="s">
        <v>865</v>
      </c>
      <c r="R1" t="s">
        <v>867</v>
      </c>
      <c r="S1" t="s">
        <v>857</v>
      </c>
    </row>
    <row r="2" spans="1:19">
      <c r="A2" t="s">
        <v>824</v>
      </c>
      <c r="B2">
        <v>103</v>
      </c>
      <c r="C2">
        <v>2.4089</v>
      </c>
      <c r="D2">
        <v>0.2999</v>
      </c>
      <c r="E2">
        <v>2.0985999999999998</v>
      </c>
      <c r="F2">
        <v>0.40460000000000002</v>
      </c>
      <c r="G2" t="s">
        <v>847</v>
      </c>
      <c r="I2" t="s">
        <v>847</v>
      </c>
      <c r="J2">
        <v>0.37659999999999999</v>
      </c>
      <c r="K2">
        <v>0.39040000000000002</v>
      </c>
      <c r="L2">
        <v>0.4042</v>
      </c>
      <c r="M2">
        <v>0.3846</v>
      </c>
      <c r="N2">
        <v>0.39079999999999998</v>
      </c>
      <c r="O2">
        <v>0.40460000000000002</v>
      </c>
      <c r="P2">
        <v>0.33479999999999999</v>
      </c>
      <c r="Q2">
        <v>0.38159999999999999</v>
      </c>
      <c r="R2">
        <v>0.3962</v>
      </c>
      <c r="S2">
        <v>0.39340000000000003</v>
      </c>
    </row>
    <row r="3" spans="1:19">
      <c r="A3" t="s">
        <v>824</v>
      </c>
      <c r="B3">
        <v>103</v>
      </c>
      <c r="C3">
        <v>1.9858</v>
      </c>
      <c r="D3">
        <v>0.42559999999999998</v>
      </c>
      <c r="E3">
        <v>1.7864</v>
      </c>
      <c r="F3">
        <v>0.4904</v>
      </c>
      <c r="G3" t="s">
        <v>848</v>
      </c>
      <c r="I3" t="s">
        <v>848</v>
      </c>
      <c r="J3">
        <v>0.44440000000000002</v>
      </c>
      <c r="K3">
        <v>0.47339999999999999</v>
      </c>
      <c r="L3">
        <v>0.4728</v>
      </c>
      <c r="M3">
        <v>0.48320000000000002</v>
      </c>
      <c r="N3">
        <v>0.45400000000000001</v>
      </c>
      <c r="O3">
        <v>0.4904</v>
      </c>
      <c r="P3">
        <v>0.41980000000000001</v>
      </c>
      <c r="Q3">
        <v>0.45679999999999998</v>
      </c>
      <c r="R3">
        <v>0.49320000000000003</v>
      </c>
      <c r="S3">
        <v>0.48459999999999998</v>
      </c>
    </row>
    <row r="4" spans="1:19">
      <c r="A4" t="s">
        <v>824</v>
      </c>
      <c r="B4">
        <v>103</v>
      </c>
      <c r="C4">
        <v>1.679</v>
      </c>
      <c r="D4">
        <v>0.50929999999999997</v>
      </c>
      <c r="E4">
        <v>1.5494000000000001</v>
      </c>
      <c r="F4">
        <v>0.54759999999999998</v>
      </c>
      <c r="G4" t="s">
        <v>849</v>
      </c>
      <c r="I4" t="s">
        <v>849</v>
      </c>
      <c r="J4">
        <v>0.51600000000000001</v>
      </c>
      <c r="K4">
        <v>0.52300000000000002</v>
      </c>
      <c r="L4">
        <v>0.53339999999999999</v>
      </c>
      <c r="M4">
        <v>0.53039999999999998</v>
      </c>
      <c r="N4">
        <v>0.51239999999999997</v>
      </c>
      <c r="O4">
        <v>0.54759999999999998</v>
      </c>
      <c r="P4">
        <v>0.47860000000000003</v>
      </c>
      <c r="Q4">
        <v>0.51719999999999999</v>
      </c>
      <c r="R4">
        <v>0.52259999999999995</v>
      </c>
      <c r="S4">
        <v>0.54300000000000004</v>
      </c>
    </row>
    <row r="5" spans="1:19">
      <c r="A5" t="s">
        <v>824</v>
      </c>
      <c r="B5">
        <v>103</v>
      </c>
      <c r="C5">
        <v>1.4689000000000001</v>
      </c>
      <c r="D5">
        <v>0.57010000000000005</v>
      </c>
      <c r="E5">
        <v>1.4156</v>
      </c>
      <c r="F5">
        <v>0.59160000000000001</v>
      </c>
      <c r="G5" t="s">
        <v>850</v>
      </c>
      <c r="I5" t="s">
        <v>850</v>
      </c>
      <c r="J5">
        <v>0.53739999999999999</v>
      </c>
      <c r="K5">
        <v>0.54620000000000002</v>
      </c>
      <c r="L5">
        <v>0.55900000000000005</v>
      </c>
      <c r="M5">
        <v>0.56159999999999999</v>
      </c>
      <c r="N5">
        <v>0.53559999999999997</v>
      </c>
      <c r="O5">
        <v>0.59160000000000001</v>
      </c>
      <c r="P5">
        <v>0.51680000000000004</v>
      </c>
      <c r="Q5">
        <v>0.52959999999999996</v>
      </c>
      <c r="R5">
        <v>0.54300000000000004</v>
      </c>
      <c r="S5">
        <v>0.5696</v>
      </c>
    </row>
    <row r="6" spans="1:19">
      <c r="A6" t="s">
        <v>824</v>
      </c>
      <c r="B6">
        <v>103</v>
      </c>
      <c r="C6">
        <v>1.3439000000000001</v>
      </c>
      <c r="D6">
        <v>0.60260000000000002</v>
      </c>
      <c r="E6">
        <v>1.4162999999999999</v>
      </c>
      <c r="F6">
        <v>0.58879999999999999</v>
      </c>
      <c r="G6" t="s">
        <v>851</v>
      </c>
      <c r="I6" t="s">
        <v>851</v>
      </c>
      <c r="J6">
        <v>0.57620000000000005</v>
      </c>
      <c r="K6">
        <v>0.57479999999999998</v>
      </c>
      <c r="L6">
        <v>0.58899999999999997</v>
      </c>
      <c r="M6">
        <v>0.57699999999999996</v>
      </c>
      <c r="N6">
        <v>0.57220000000000004</v>
      </c>
      <c r="O6">
        <v>0.58879999999999999</v>
      </c>
      <c r="P6">
        <v>0.53420000000000001</v>
      </c>
      <c r="Q6">
        <v>0.53320000000000001</v>
      </c>
      <c r="R6">
        <v>0.56640000000000001</v>
      </c>
      <c r="S6">
        <v>0.57899999999999996</v>
      </c>
    </row>
    <row r="7" spans="1:19">
      <c r="A7" t="s">
        <v>824</v>
      </c>
      <c r="B7">
        <v>103</v>
      </c>
      <c r="C7">
        <v>1.2490000000000001</v>
      </c>
      <c r="D7">
        <v>0.62549999999999994</v>
      </c>
      <c r="E7">
        <v>1.3621000000000001</v>
      </c>
      <c r="F7">
        <v>0.59899999999999998</v>
      </c>
      <c r="G7" t="s">
        <v>852</v>
      </c>
      <c r="I7" t="s">
        <v>852</v>
      </c>
      <c r="J7">
        <v>0.5786</v>
      </c>
      <c r="K7">
        <v>0.59399999999999997</v>
      </c>
      <c r="L7">
        <v>0.59299999999999997</v>
      </c>
      <c r="M7">
        <v>0.58620000000000005</v>
      </c>
      <c r="N7">
        <v>0.58220000000000005</v>
      </c>
      <c r="O7">
        <v>0.59899999999999998</v>
      </c>
      <c r="P7">
        <v>0.54959999999999998</v>
      </c>
      <c r="Q7">
        <v>0.56979999999999997</v>
      </c>
      <c r="R7">
        <v>0.59199999999999997</v>
      </c>
      <c r="S7">
        <v>0.59179999999999999</v>
      </c>
    </row>
    <row r="8" spans="1:19">
      <c r="A8" t="s">
        <v>824</v>
      </c>
      <c r="B8">
        <v>103</v>
      </c>
      <c r="C8">
        <v>1.1678999999999999</v>
      </c>
      <c r="D8">
        <v>0.64949999999999997</v>
      </c>
      <c r="E8">
        <v>1.3543000000000001</v>
      </c>
      <c r="F8">
        <v>0.61319999999999997</v>
      </c>
      <c r="G8" t="s">
        <v>853</v>
      </c>
      <c r="I8" t="s">
        <v>853</v>
      </c>
      <c r="J8">
        <v>0.58860000000000001</v>
      </c>
      <c r="K8">
        <v>0.59560000000000002</v>
      </c>
      <c r="L8">
        <v>0.5948</v>
      </c>
      <c r="M8">
        <v>0.6018</v>
      </c>
      <c r="N8">
        <v>0.60240000000000005</v>
      </c>
      <c r="O8">
        <v>0.61319999999999997</v>
      </c>
      <c r="P8">
        <v>0.56340000000000001</v>
      </c>
      <c r="Q8">
        <v>0.57699999999999996</v>
      </c>
      <c r="R8">
        <v>0.59060000000000001</v>
      </c>
      <c r="S8">
        <v>0.6038</v>
      </c>
    </row>
    <row r="9" spans="1:19">
      <c r="A9" t="s">
        <v>824</v>
      </c>
      <c r="B9">
        <v>103</v>
      </c>
      <c r="C9">
        <v>1.0967</v>
      </c>
      <c r="D9">
        <v>0.67030000000000001</v>
      </c>
      <c r="E9">
        <v>1.3701000000000001</v>
      </c>
      <c r="F9">
        <v>0.60319999999999996</v>
      </c>
      <c r="G9" t="s">
        <v>854</v>
      </c>
      <c r="I9" t="s">
        <v>854</v>
      </c>
      <c r="J9">
        <v>0.60219999999999996</v>
      </c>
      <c r="K9">
        <v>0.58819999999999995</v>
      </c>
      <c r="L9">
        <v>0.60799999999999998</v>
      </c>
      <c r="M9">
        <v>0.59919999999999995</v>
      </c>
      <c r="N9">
        <v>0.60160000000000002</v>
      </c>
      <c r="O9">
        <v>0.60319999999999996</v>
      </c>
      <c r="P9">
        <v>0.57999999999999996</v>
      </c>
      <c r="Q9">
        <v>0.58819999999999995</v>
      </c>
      <c r="R9">
        <v>0.59379999999999999</v>
      </c>
      <c r="S9">
        <v>0.60580000000000001</v>
      </c>
    </row>
    <row r="10" spans="1:19">
      <c r="A10" t="s">
        <v>824</v>
      </c>
      <c r="B10">
        <v>103</v>
      </c>
      <c r="C10">
        <v>1.0329999999999999</v>
      </c>
      <c r="D10">
        <v>0.68589999999999995</v>
      </c>
      <c r="E10">
        <v>1.367</v>
      </c>
      <c r="F10">
        <v>0.60440000000000005</v>
      </c>
      <c r="G10" t="s">
        <v>855</v>
      </c>
      <c r="I10" t="s">
        <v>855</v>
      </c>
      <c r="J10">
        <v>0.60519999999999996</v>
      </c>
      <c r="K10">
        <v>0.60019999999999996</v>
      </c>
      <c r="L10">
        <v>0.60019999999999996</v>
      </c>
      <c r="M10">
        <v>0.6</v>
      </c>
      <c r="N10">
        <v>0.60499999999999998</v>
      </c>
      <c r="O10">
        <v>0.60440000000000005</v>
      </c>
      <c r="P10">
        <v>0.59079999999999999</v>
      </c>
      <c r="Q10">
        <v>0.5736</v>
      </c>
      <c r="R10">
        <v>0.59940000000000004</v>
      </c>
      <c r="S10">
        <v>0.6038</v>
      </c>
    </row>
    <row r="11" spans="1:19">
      <c r="A11" t="s">
        <v>824</v>
      </c>
      <c r="B11">
        <v>103</v>
      </c>
      <c r="C11">
        <v>0.97040000000000004</v>
      </c>
      <c r="D11">
        <v>0.70589999999999997</v>
      </c>
      <c r="E11">
        <v>1.3529</v>
      </c>
      <c r="F11">
        <v>0.62019999999999997</v>
      </c>
      <c r="G11" t="s">
        <v>836</v>
      </c>
      <c r="I11" t="s">
        <v>836</v>
      </c>
      <c r="J11">
        <v>0.61040000000000005</v>
      </c>
      <c r="K11">
        <v>0.61060000000000003</v>
      </c>
      <c r="L11">
        <v>0.60899999999999999</v>
      </c>
      <c r="M11">
        <v>0.61</v>
      </c>
      <c r="N11">
        <v>0.60880000000000001</v>
      </c>
      <c r="O11">
        <v>0.62019999999999997</v>
      </c>
      <c r="P11">
        <v>0.59819999999999995</v>
      </c>
      <c r="Q11">
        <v>0.58199999999999996</v>
      </c>
      <c r="R11">
        <v>0.60040000000000004</v>
      </c>
      <c r="S11">
        <v>0.60640000000000005</v>
      </c>
    </row>
    <row r="12" spans="1:19">
      <c r="A12" t="s">
        <v>824</v>
      </c>
      <c r="B12">
        <v>103</v>
      </c>
      <c r="C12">
        <v>0.90349999999999997</v>
      </c>
      <c r="D12">
        <v>0.7258</v>
      </c>
      <c r="E12">
        <v>1.3951</v>
      </c>
      <c r="F12">
        <v>0.61339999999999995</v>
      </c>
      <c r="G12" t="s">
        <v>837</v>
      </c>
      <c r="I12" t="s">
        <v>837</v>
      </c>
      <c r="J12">
        <v>0.60219999999999996</v>
      </c>
      <c r="K12">
        <v>0.59819999999999995</v>
      </c>
      <c r="L12">
        <v>0.60340000000000005</v>
      </c>
      <c r="M12">
        <v>0.61199999999999999</v>
      </c>
      <c r="N12">
        <v>0.61260000000000003</v>
      </c>
      <c r="O12">
        <v>0.61339999999999995</v>
      </c>
      <c r="P12">
        <v>0.59460000000000002</v>
      </c>
      <c r="Q12">
        <v>0.58640000000000003</v>
      </c>
      <c r="R12">
        <v>0.59819999999999995</v>
      </c>
      <c r="S12">
        <v>0.60919999999999996</v>
      </c>
    </row>
    <row r="13" spans="1:19">
      <c r="A13" t="s">
        <v>824</v>
      </c>
      <c r="B13">
        <v>103</v>
      </c>
      <c r="C13">
        <v>0.85760000000000003</v>
      </c>
      <c r="D13">
        <v>0.7429</v>
      </c>
      <c r="E13">
        <v>1.4293</v>
      </c>
      <c r="F13">
        <v>0.62119999999999997</v>
      </c>
      <c r="G13" t="s">
        <v>838</v>
      </c>
      <c r="I13" t="s">
        <v>838</v>
      </c>
      <c r="J13">
        <v>0.61339999999999995</v>
      </c>
      <c r="K13">
        <v>0.61799999999999999</v>
      </c>
      <c r="L13">
        <v>0.60399999999999998</v>
      </c>
      <c r="M13">
        <v>0.61739999999999995</v>
      </c>
      <c r="N13">
        <v>0.60660000000000003</v>
      </c>
      <c r="O13">
        <v>0.62119999999999997</v>
      </c>
      <c r="P13">
        <v>0.59499999999999997</v>
      </c>
      <c r="Q13">
        <v>0.59219999999999995</v>
      </c>
      <c r="R13">
        <v>0.60399999999999998</v>
      </c>
      <c r="S13">
        <v>0.6038</v>
      </c>
    </row>
    <row r="14" spans="1:19">
      <c r="A14" t="s">
        <v>824</v>
      </c>
      <c r="B14">
        <v>103</v>
      </c>
      <c r="C14">
        <v>0.78759999999999997</v>
      </c>
      <c r="D14">
        <v>0.75890000000000002</v>
      </c>
      <c r="E14">
        <v>1.4612000000000001</v>
      </c>
      <c r="F14">
        <v>0.61119999999999997</v>
      </c>
      <c r="G14" t="s">
        <v>839</v>
      </c>
      <c r="I14" t="s">
        <v>839</v>
      </c>
      <c r="J14">
        <v>0.60499999999999998</v>
      </c>
      <c r="K14">
        <v>0.60440000000000005</v>
      </c>
      <c r="L14">
        <v>0.61099999999999999</v>
      </c>
      <c r="M14">
        <v>0.61419999999999997</v>
      </c>
      <c r="N14">
        <v>0.61019999999999996</v>
      </c>
      <c r="O14">
        <v>0.61119999999999997</v>
      </c>
      <c r="P14">
        <v>0.60360000000000003</v>
      </c>
      <c r="Q14">
        <v>0.58320000000000005</v>
      </c>
      <c r="R14">
        <v>0.58879999999999999</v>
      </c>
      <c r="S14">
        <v>0.60699999999999998</v>
      </c>
    </row>
    <row r="15" spans="1:19">
      <c r="A15" t="s">
        <v>824</v>
      </c>
      <c r="B15">
        <v>103</v>
      </c>
      <c r="C15">
        <v>0.7329</v>
      </c>
      <c r="D15">
        <v>0.77969999999999995</v>
      </c>
      <c r="E15">
        <v>1.4550000000000001</v>
      </c>
      <c r="F15">
        <v>0.61060000000000003</v>
      </c>
      <c r="G15" t="s">
        <v>840</v>
      </c>
      <c r="I15" t="s">
        <v>840</v>
      </c>
      <c r="J15">
        <v>0.61360000000000003</v>
      </c>
      <c r="K15">
        <v>0.60860000000000003</v>
      </c>
      <c r="L15">
        <v>0.60499999999999998</v>
      </c>
      <c r="M15">
        <v>0.61680000000000001</v>
      </c>
      <c r="N15">
        <v>0.61160000000000003</v>
      </c>
      <c r="O15">
        <v>0.61060000000000003</v>
      </c>
      <c r="P15">
        <v>0.5978</v>
      </c>
      <c r="Q15">
        <v>0.57940000000000003</v>
      </c>
      <c r="R15">
        <v>0.6</v>
      </c>
      <c r="S15">
        <v>0.6018</v>
      </c>
    </row>
    <row r="16" spans="1:19">
      <c r="A16" t="s">
        <v>824</v>
      </c>
      <c r="B16">
        <v>103</v>
      </c>
      <c r="C16">
        <v>0.69230000000000003</v>
      </c>
      <c r="D16">
        <v>0.79190000000000005</v>
      </c>
      <c r="E16">
        <v>1.4952000000000001</v>
      </c>
      <c r="F16">
        <v>0.61119999999999997</v>
      </c>
      <c r="G16" t="s">
        <v>841</v>
      </c>
      <c r="I16" t="s">
        <v>841</v>
      </c>
      <c r="J16">
        <v>0.61260000000000003</v>
      </c>
      <c r="K16">
        <v>0.61119999999999997</v>
      </c>
      <c r="L16">
        <v>0.60680000000000001</v>
      </c>
      <c r="M16">
        <v>0.623</v>
      </c>
      <c r="N16">
        <v>0.61560000000000004</v>
      </c>
      <c r="O16">
        <v>0.61119999999999997</v>
      </c>
      <c r="P16">
        <v>0.60419999999999996</v>
      </c>
      <c r="Q16">
        <v>0.59360000000000002</v>
      </c>
      <c r="R16">
        <v>0.60160000000000002</v>
      </c>
      <c r="S16">
        <v>0.59619999999999995</v>
      </c>
    </row>
    <row r="17" spans="1:19">
      <c r="A17" t="s">
        <v>824</v>
      </c>
      <c r="B17">
        <v>103</v>
      </c>
      <c r="C17">
        <v>0.64239999999999997</v>
      </c>
      <c r="D17">
        <v>0.80769999999999997</v>
      </c>
      <c r="E17">
        <v>1.5590999999999999</v>
      </c>
      <c r="F17">
        <v>0.6038</v>
      </c>
      <c r="G17" t="s">
        <v>842</v>
      </c>
      <c r="I17" t="s">
        <v>842</v>
      </c>
      <c r="J17">
        <v>0.61839999999999995</v>
      </c>
      <c r="K17">
        <v>0.60880000000000001</v>
      </c>
      <c r="L17">
        <v>0.61260000000000003</v>
      </c>
      <c r="M17">
        <v>0.62119999999999997</v>
      </c>
      <c r="N17">
        <v>0.61660000000000004</v>
      </c>
      <c r="O17">
        <v>0.6038</v>
      </c>
      <c r="P17">
        <v>0.61339999999999995</v>
      </c>
      <c r="Q17">
        <v>0.59060000000000001</v>
      </c>
      <c r="R17">
        <v>0.60580000000000001</v>
      </c>
      <c r="S17">
        <v>0.59599999999999997</v>
      </c>
    </row>
    <row r="18" spans="1:19">
      <c r="A18" t="s">
        <v>824</v>
      </c>
      <c r="B18">
        <v>103</v>
      </c>
      <c r="C18">
        <v>0.59850000000000003</v>
      </c>
      <c r="D18">
        <v>0.82110000000000005</v>
      </c>
      <c r="E18">
        <v>1.6234999999999999</v>
      </c>
      <c r="F18">
        <v>0.60199999999999998</v>
      </c>
      <c r="G18" t="s">
        <v>843</v>
      </c>
      <c r="I18" t="s">
        <v>843</v>
      </c>
      <c r="J18">
        <v>0.61599999999999999</v>
      </c>
      <c r="K18">
        <v>0.61439999999999995</v>
      </c>
      <c r="L18">
        <v>0.60360000000000003</v>
      </c>
      <c r="M18">
        <v>0.61160000000000003</v>
      </c>
      <c r="N18">
        <v>0.60740000000000005</v>
      </c>
      <c r="O18">
        <v>0.60199999999999998</v>
      </c>
      <c r="P18">
        <v>0.60499999999999998</v>
      </c>
      <c r="Q18">
        <v>0.59019999999999995</v>
      </c>
      <c r="R18">
        <v>0.60899999999999999</v>
      </c>
      <c r="S18">
        <v>0.59760000000000002</v>
      </c>
    </row>
    <row r="19" spans="1:19">
      <c r="A19" t="s">
        <v>824</v>
      </c>
      <c r="B19">
        <v>103</v>
      </c>
      <c r="C19">
        <v>0.56399999999999995</v>
      </c>
      <c r="D19">
        <v>0.83230000000000004</v>
      </c>
      <c r="E19">
        <v>1.6758</v>
      </c>
      <c r="F19">
        <v>0.59740000000000004</v>
      </c>
      <c r="G19" t="s">
        <v>844</v>
      </c>
      <c r="I19" t="s">
        <v>844</v>
      </c>
      <c r="J19">
        <v>0.61780000000000002</v>
      </c>
      <c r="K19">
        <v>0.60680000000000001</v>
      </c>
      <c r="L19">
        <v>0.6018</v>
      </c>
      <c r="M19">
        <v>0.60660000000000003</v>
      </c>
      <c r="N19">
        <v>0.61880000000000002</v>
      </c>
      <c r="O19">
        <v>0.59740000000000004</v>
      </c>
      <c r="P19">
        <v>0.60619999999999996</v>
      </c>
      <c r="Q19">
        <v>0.58199999999999996</v>
      </c>
      <c r="R19">
        <v>0.59840000000000004</v>
      </c>
      <c r="S19">
        <v>0.59340000000000004</v>
      </c>
    </row>
    <row r="20" spans="1:19">
      <c r="A20" t="s">
        <v>825</v>
      </c>
      <c r="B20">
        <v>158</v>
      </c>
      <c r="C20">
        <v>2.4584000000000001</v>
      </c>
      <c r="D20">
        <v>0.28570000000000001</v>
      </c>
      <c r="E20">
        <v>2.1855000000000002</v>
      </c>
      <c r="F20">
        <v>0.37659999999999999</v>
      </c>
      <c r="G20" t="s">
        <v>847</v>
      </c>
    </row>
    <row r="21" spans="1:19">
      <c r="A21" t="s">
        <v>863</v>
      </c>
      <c r="B21">
        <v>158</v>
      </c>
      <c r="C21">
        <v>2.0773999999999999</v>
      </c>
      <c r="D21">
        <v>0.3992</v>
      </c>
      <c r="E21">
        <v>1.9140999999999999</v>
      </c>
      <c r="F21">
        <v>0.44440000000000002</v>
      </c>
      <c r="G21" t="s">
        <v>848</v>
      </c>
      <c r="I21" t="s">
        <v>868</v>
      </c>
      <c r="J21" t="s">
        <v>863</v>
      </c>
      <c r="K21" t="s">
        <v>861</v>
      </c>
      <c r="L21" t="s">
        <v>858</v>
      </c>
      <c r="M21" t="s">
        <v>860</v>
      </c>
      <c r="N21" t="s">
        <v>862</v>
      </c>
      <c r="O21" t="s">
        <v>859</v>
      </c>
      <c r="P21" t="s">
        <v>864</v>
      </c>
      <c r="Q21" t="s">
        <v>865</v>
      </c>
      <c r="R21" t="s">
        <v>867</v>
      </c>
      <c r="S21" t="s">
        <v>857</v>
      </c>
    </row>
    <row r="22" spans="1:19">
      <c r="A22" t="s">
        <v>825</v>
      </c>
      <c r="B22">
        <v>158</v>
      </c>
      <c r="C22">
        <v>1.8425</v>
      </c>
      <c r="D22">
        <v>0.46539999999999998</v>
      </c>
      <c r="E22">
        <v>1.6972</v>
      </c>
      <c r="F22">
        <v>0.51600000000000001</v>
      </c>
      <c r="G22" t="s">
        <v>849</v>
      </c>
      <c r="I22" t="s">
        <v>847</v>
      </c>
      <c r="J22">
        <v>2.1855000000000002</v>
      </c>
      <c r="K22">
        <v>2.1107999999999998</v>
      </c>
      <c r="L22">
        <v>2.0746000000000002</v>
      </c>
      <c r="M22">
        <v>2.1082999999999998</v>
      </c>
      <c r="N22">
        <v>2.1145999999999998</v>
      </c>
      <c r="O22">
        <v>2.0985999999999998</v>
      </c>
      <c r="P22">
        <v>2.3247</v>
      </c>
      <c r="Q22">
        <v>2.1621000000000001</v>
      </c>
      <c r="R22">
        <v>2.1315</v>
      </c>
      <c r="S22">
        <v>2.1002000000000001</v>
      </c>
    </row>
    <row r="23" spans="1:19">
      <c r="A23" t="s">
        <v>825</v>
      </c>
      <c r="B23">
        <v>158</v>
      </c>
      <c r="C23">
        <v>1.6413</v>
      </c>
      <c r="D23">
        <v>0.52180000000000004</v>
      </c>
      <c r="E23">
        <v>1.5959000000000001</v>
      </c>
      <c r="F23">
        <v>0.53739999999999999</v>
      </c>
      <c r="G23" t="s">
        <v>850</v>
      </c>
      <c r="I23" t="s">
        <v>848</v>
      </c>
      <c r="J23">
        <v>1.9140999999999999</v>
      </c>
      <c r="K23">
        <v>1.8683000000000001</v>
      </c>
      <c r="L23">
        <v>1.8197000000000001</v>
      </c>
      <c r="M23">
        <v>1.8154999999999999</v>
      </c>
      <c r="N23">
        <v>1.9146000000000001</v>
      </c>
      <c r="O23">
        <v>1.7864</v>
      </c>
      <c r="P23">
        <v>2.0207999999999999</v>
      </c>
      <c r="Q23">
        <v>1.8953</v>
      </c>
      <c r="R23">
        <v>1.7894000000000001</v>
      </c>
      <c r="S23">
        <v>1.7986</v>
      </c>
    </row>
    <row r="24" spans="1:19">
      <c r="A24" t="s">
        <v>825</v>
      </c>
      <c r="B24">
        <v>158</v>
      </c>
      <c r="C24">
        <v>1.4948999999999999</v>
      </c>
      <c r="D24">
        <v>0.56210000000000004</v>
      </c>
      <c r="E24">
        <v>1.4745999999999999</v>
      </c>
      <c r="F24">
        <v>0.57620000000000005</v>
      </c>
      <c r="G24" t="s">
        <v>851</v>
      </c>
      <c r="I24" t="s">
        <v>849</v>
      </c>
      <c r="J24">
        <v>1.6972</v>
      </c>
      <c r="K24">
        <v>1.6505000000000001</v>
      </c>
      <c r="L24">
        <v>1.6184000000000001</v>
      </c>
      <c r="M24">
        <v>1.6364000000000001</v>
      </c>
      <c r="N24">
        <v>1.7065999999999999</v>
      </c>
      <c r="O24">
        <v>1.5494000000000001</v>
      </c>
      <c r="P24">
        <v>1.8315999999999999</v>
      </c>
      <c r="Q24">
        <v>1.7177</v>
      </c>
      <c r="R24">
        <v>1.6462000000000001</v>
      </c>
      <c r="S24">
        <v>1.607</v>
      </c>
    </row>
    <row r="25" spans="1:19">
      <c r="A25" t="s">
        <v>825</v>
      </c>
      <c r="B25">
        <v>158</v>
      </c>
      <c r="C25">
        <v>1.3903000000000001</v>
      </c>
      <c r="D25">
        <v>0.59160000000000001</v>
      </c>
      <c r="E25">
        <v>1.4540999999999999</v>
      </c>
      <c r="F25">
        <v>0.5786</v>
      </c>
      <c r="G25" t="s">
        <v>852</v>
      </c>
      <c r="I25" t="s">
        <v>850</v>
      </c>
      <c r="J25">
        <v>1.5959000000000001</v>
      </c>
      <c r="K25">
        <v>1.5694999999999999</v>
      </c>
      <c r="L25">
        <v>1.5518000000000001</v>
      </c>
      <c r="M25">
        <v>1.5246999999999999</v>
      </c>
      <c r="N25">
        <v>1.5935999999999999</v>
      </c>
      <c r="O25">
        <v>1.4156</v>
      </c>
      <c r="P25">
        <v>1.7178</v>
      </c>
      <c r="Q25">
        <v>1.6489</v>
      </c>
      <c r="R25">
        <v>1.5738000000000001</v>
      </c>
      <c r="S25">
        <v>1.5169999999999999</v>
      </c>
    </row>
    <row r="26" spans="1:19">
      <c r="A26" t="s">
        <v>825</v>
      </c>
      <c r="B26">
        <v>158</v>
      </c>
      <c r="C26">
        <v>1.3108</v>
      </c>
      <c r="D26">
        <v>0.61099999999999999</v>
      </c>
      <c r="E26">
        <v>1.4384999999999999</v>
      </c>
      <c r="F26">
        <v>0.58860000000000001</v>
      </c>
      <c r="G26" t="s">
        <v>853</v>
      </c>
      <c r="I26" t="s">
        <v>851</v>
      </c>
      <c r="J26">
        <v>1.4745999999999999</v>
      </c>
      <c r="K26">
        <v>1.4494</v>
      </c>
      <c r="L26">
        <v>1.4441999999999999</v>
      </c>
      <c r="M26">
        <v>1.4446000000000001</v>
      </c>
      <c r="N26">
        <v>1.4843999999999999</v>
      </c>
      <c r="O26">
        <v>1.4162999999999999</v>
      </c>
      <c r="P26">
        <v>1.6272</v>
      </c>
      <c r="Q26">
        <v>1.6413</v>
      </c>
      <c r="R26">
        <v>1.5382</v>
      </c>
      <c r="S26">
        <v>1.4381999999999999</v>
      </c>
    </row>
    <row r="27" spans="1:19">
      <c r="A27" t="s">
        <v>825</v>
      </c>
      <c r="B27">
        <v>158</v>
      </c>
      <c r="C27">
        <v>1.2221</v>
      </c>
      <c r="D27">
        <v>0.63680000000000003</v>
      </c>
      <c r="E27">
        <v>1.3708</v>
      </c>
      <c r="F27">
        <v>0.60219999999999996</v>
      </c>
      <c r="G27" t="s">
        <v>854</v>
      </c>
      <c r="I27" t="s">
        <v>852</v>
      </c>
      <c r="J27">
        <v>1.4540999999999999</v>
      </c>
      <c r="K27">
        <v>1.3880999999999999</v>
      </c>
      <c r="L27">
        <v>1.4086000000000001</v>
      </c>
      <c r="M27">
        <v>1.4109</v>
      </c>
      <c r="N27">
        <v>1.4315</v>
      </c>
      <c r="O27">
        <v>1.3621000000000001</v>
      </c>
      <c r="P27">
        <v>1.5558000000000001</v>
      </c>
      <c r="Q27">
        <v>1.4983</v>
      </c>
      <c r="R27">
        <v>1.4690000000000001</v>
      </c>
      <c r="S27">
        <v>1.4483999999999999</v>
      </c>
    </row>
    <row r="28" spans="1:19">
      <c r="A28" t="s">
        <v>825</v>
      </c>
      <c r="B28">
        <v>158</v>
      </c>
      <c r="C28">
        <v>1.1910000000000001</v>
      </c>
      <c r="D28">
        <v>0.6421</v>
      </c>
      <c r="E28">
        <v>1.3513999999999999</v>
      </c>
      <c r="F28">
        <v>0.60519999999999996</v>
      </c>
      <c r="G28" t="s">
        <v>855</v>
      </c>
      <c r="I28" t="s">
        <v>853</v>
      </c>
      <c r="J28">
        <v>1.4384999999999999</v>
      </c>
      <c r="K28">
        <v>1.3588</v>
      </c>
      <c r="L28">
        <v>1.3843000000000001</v>
      </c>
      <c r="M28">
        <v>1.3628</v>
      </c>
      <c r="N28">
        <v>1.3734</v>
      </c>
      <c r="O28">
        <v>1.3543000000000001</v>
      </c>
      <c r="P28">
        <v>1.5186999999999999</v>
      </c>
      <c r="Q28">
        <v>1.4862</v>
      </c>
      <c r="R28">
        <v>1.4529000000000001</v>
      </c>
      <c r="S28">
        <v>1.4016999999999999</v>
      </c>
    </row>
    <row r="29" spans="1:19">
      <c r="A29" t="s">
        <v>825</v>
      </c>
      <c r="B29">
        <v>158</v>
      </c>
      <c r="C29">
        <v>1.1291</v>
      </c>
      <c r="D29">
        <v>0.66180000000000005</v>
      </c>
      <c r="E29">
        <v>1.3364</v>
      </c>
      <c r="F29">
        <v>0.61040000000000005</v>
      </c>
      <c r="G29" t="s">
        <v>836</v>
      </c>
      <c r="I29" t="s">
        <v>854</v>
      </c>
      <c r="J29">
        <v>1.3708</v>
      </c>
      <c r="K29">
        <v>1.4071</v>
      </c>
      <c r="L29">
        <v>1.3567</v>
      </c>
      <c r="M29">
        <v>1.3636999999999999</v>
      </c>
      <c r="N29">
        <v>1.3758999999999999</v>
      </c>
      <c r="O29">
        <v>1.3701000000000001</v>
      </c>
      <c r="P29">
        <v>1.4503999999999999</v>
      </c>
      <c r="Q29">
        <v>1.4613</v>
      </c>
      <c r="R29">
        <v>1.4435</v>
      </c>
      <c r="S29">
        <v>1.3735999999999999</v>
      </c>
    </row>
    <row r="30" spans="1:19">
      <c r="A30" t="s">
        <v>825</v>
      </c>
      <c r="B30">
        <v>158</v>
      </c>
      <c r="C30">
        <v>1.0913999999999999</v>
      </c>
      <c r="D30">
        <v>0.67359999999999998</v>
      </c>
      <c r="E30">
        <v>1.4162999999999999</v>
      </c>
      <c r="F30">
        <v>0.60219999999999996</v>
      </c>
      <c r="G30" t="s">
        <v>837</v>
      </c>
      <c r="I30" t="s">
        <v>855</v>
      </c>
      <c r="J30">
        <v>1.3513999999999999</v>
      </c>
      <c r="K30">
        <v>1.3697999999999999</v>
      </c>
      <c r="L30">
        <v>1.36</v>
      </c>
      <c r="M30">
        <v>1.3564000000000001</v>
      </c>
      <c r="N30">
        <v>1.3381000000000001</v>
      </c>
      <c r="O30">
        <v>1.367</v>
      </c>
      <c r="P30">
        <v>1.4153</v>
      </c>
      <c r="Q30">
        <v>1.4908999999999999</v>
      </c>
      <c r="R30">
        <v>1.4369000000000001</v>
      </c>
      <c r="S30">
        <v>1.3859999999999999</v>
      </c>
    </row>
    <row r="31" spans="1:19">
      <c r="A31" t="s">
        <v>825</v>
      </c>
      <c r="B31">
        <v>158</v>
      </c>
      <c r="C31">
        <v>1.0327</v>
      </c>
      <c r="D31">
        <v>0.6915</v>
      </c>
      <c r="E31">
        <v>1.3723000000000001</v>
      </c>
      <c r="F31">
        <v>0.61339999999999995</v>
      </c>
      <c r="G31" t="s">
        <v>838</v>
      </c>
      <c r="I31" t="s">
        <v>836</v>
      </c>
      <c r="J31">
        <v>1.3364</v>
      </c>
      <c r="K31">
        <v>1.3767</v>
      </c>
      <c r="L31">
        <v>1.3478000000000001</v>
      </c>
      <c r="M31">
        <v>1.3298000000000001</v>
      </c>
      <c r="N31">
        <v>1.3515999999999999</v>
      </c>
      <c r="O31">
        <v>1.3529</v>
      </c>
      <c r="P31">
        <v>1.4097</v>
      </c>
      <c r="Q31">
        <v>1.4621</v>
      </c>
      <c r="R31">
        <v>1.419</v>
      </c>
      <c r="S31">
        <v>1.3894</v>
      </c>
    </row>
    <row r="32" spans="1:19">
      <c r="A32" t="s">
        <v>825</v>
      </c>
      <c r="B32">
        <v>158</v>
      </c>
      <c r="C32">
        <v>0.99060000000000004</v>
      </c>
      <c r="D32">
        <v>0.70150000000000001</v>
      </c>
      <c r="E32">
        <v>1.3585</v>
      </c>
      <c r="F32">
        <v>0.60499999999999998</v>
      </c>
      <c r="G32" t="s">
        <v>839</v>
      </c>
      <c r="I32" t="s">
        <v>837</v>
      </c>
      <c r="J32">
        <v>1.4162999999999999</v>
      </c>
      <c r="K32">
        <v>1.4049</v>
      </c>
      <c r="L32">
        <v>1.3755999999999999</v>
      </c>
      <c r="M32">
        <v>1.3553999999999999</v>
      </c>
      <c r="N32">
        <v>1.3022</v>
      </c>
      <c r="O32">
        <v>1.3951</v>
      </c>
      <c r="P32">
        <v>1.4161999999999999</v>
      </c>
      <c r="Q32">
        <v>1.4650000000000001</v>
      </c>
      <c r="R32">
        <v>1.4361999999999999</v>
      </c>
      <c r="S32">
        <v>1.4049</v>
      </c>
    </row>
    <row r="33" spans="1:19">
      <c r="A33" t="s">
        <v>825</v>
      </c>
      <c r="B33">
        <v>158</v>
      </c>
      <c r="C33">
        <v>0.93879999999999997</v>
      </c>
      <c r="D33">
        <v>0.71730000000000005</v>
      </c>
      <c r="E33">
        <v>1.3560000000000001</v>
      </c>
      <c r="F33">
        <v>0.61360000000000003</v>
      </c>
      <c r="G33" t="s">
        <v>840</v>
      </c>
      <c r="I33" t="s">
        <v>838</v>
      </c>
      <c r="J33">
        <v>1.3723000000000001</v>
      </c>
      <c r="K33">
        <v>1.3693</v>
      </c>
      <c r="L33">
        <v>1.391</v>
      </c>
      <c r="M33">
        <v>1.3511</v>
      </c>
      <c r="N33">
        <v>1.3408</v>
      </c>
      <c r="O33">
        <v>1.4293</v>
      </c>
      <c r="P33">
        <v>1.3952</v>
      </c>
      <c r="Q33">
        <v>1.4646999999999999</v>
      </c>
      <c r="R33">
        <v>1.4242999999999999</v>
      </c>
      <c r="S33">
        <v>1.4493</v>
      </c>
    </row>
    <row r="34" spans="1:19">
      <c r="A34" t="s">
        <v>825</v>
      </c>
      <c r="B34">
        <v>158</v>
      </c>
      <c r="C34">
        <v>0.91039999999999999</v>
      </c>
      <c r="D34">
        <v>0.7278</v>
      </c>
      <c r="E34">
        <v>1.3984000000000001</v>
      </c>
      <c r="F34">
        <v>0.61260000000000003</v>
      </c>
      <c r="G34" t="s">
        <v>841</v>
      </c>
      <c r="I34" t="s">
        <v>839</v>
      </c>
      <c r="J34">
        <v>1.3585</v>
      </c>
      <c r="K34">
        <v>1.3749</v>
      </c>
      <c r="L34">
        <v>1.3968</v>
      </c>
      <c r="M34">
        <v>1.3584000000000001</v>
      </c>
      <c r="N34">
        <v>1.3291999999999999</v>
      </c>
      <c r="O34">
        <v>1.4612000000000001</v>
      </c>
      <c r="P34">
        <v>1.3756999999999999</v>
      </c>
      <c r="Q34">
        <v>1.4743999999999999</v>
      </c>
      <c r="R34">
        <v>1.4378</v>
      </c>
      <c r="S34">
        <v>1.4933000000000001</v>
      </c>
    </row>
    <row r="35" spans="1:19">
      <c r="A35" t="s">
        <v>825</v>
      </c>
      <c r="B35">
        <v>158</v>
      </c>
      <c r="C35">
        <v>0.87580000000000002</v>
      </c>
      <c r="D35">
        <v>0.7379</v>
      </c>
      <c r="E35">
        <v>1.4053</v>
      </c>
      <c r="F35">
        <v>0.61839999999999995</v>
      </c>
      <c r="G35" t="s">
        <v>842</v>
      </c>
      <c r="I35" t="s">
        <v>840</v>
      </c>
      <c r="J35">
        <v>1.3560000000000001</v>
      </c>
      <c r="K35">
        <v>1.407</v>
      </c>
      <c r="L35">
        <v>1.4174</v>
      </c>
      <c r="M35">
        <v>1.3608</v>
      </c>
      <c r="N35">
        <v>1.3684000000000001</v>
      </c>
      <c r="O35">
        <v>1.4550000000000001</v>
      </c>
      <c r="P35">
        <v>1.3794999999999999</v>
      </c>
      <c r="Q35">
        <v>1.5199</v>
      </c>
      <c r="R35">
        <v>1.4529000000000001</v>
      </c>
      <c r="S35">
        <v>1.5381</v>
      </c>
    </row>
    <row r="36" spans="1:19">
      <c r="A36" t="s">
        <v>825</v>
      </c>
      <c r="B36">
        <v>158</v>
      </c>
      <c r="C36">
        <v>0.84099999999999997</v>
      </c>
      <c r="D36">
        <v>0.74650000000000005</v>
      </c>
      <c r="E36">
        <v>1.3836999999999999</v>
      </c>
      <c r="F36">
        <v>0.61599999999999999</v>
      </c>
      <c r="G36" t="s">
        <v>843</v>
      </c>
      <c r="I36" t="s">
        <v>841</v>
      </c>
      <c r="J36">
        <v>1.3984000000000001</v>
      </c>
      <c r="K36">
        <v>1.4398</v>
      </c>
      <c r="L36">
        <v>1.4596</v>
      </c>
      <c r="M36">
        <v>1.3758999999999999</v>
      </c>
      <c r="N36">
        <v>1.3413999999999999</v>
      </c>
      <c r="O36">
        <v>1.4952000000000001</v>
      </c>
      <c r="P36">
        <v>1.3927</v>
      </c>
      <c r="Q36">
        <v>1.5021</v>
      </c>
      <c r="R36">
        <v>1.4388000000000001</v>
      </c>
      <c r="S36">
        <v>1.5582</v>
      </c>
    </row>
    <row r="37" spans="1:19">
      <c r="A37" t="s">
        <v>825</v>
      </c>
      <c r="B37">
        <v>158</v>
      </c>
      <c r="C37">
        <v>0.7984</v>
      </c>
      <c r="D37">
        <v>0.75800000000000001</v>
      </c>
      <c r="E37">
        <v>1.4499</v>
      </c>
      <c r="F37">
        <v>0.61780000000000002</v>
      </c>
      <c r="G37" t="s">
        <v>844</v>
      </c>
      <c r="I37" t="s">
        <v>842</v>
      </c>
      <c r="J37">
        <v>1.4053</v>
      </c>
      <c r="K37">
        <v>1.4239999999999999</v>
      </c>
      <c r="L37">
        <v>1.4601999999999999</v>
      </c>
      <c r="M37">
        <v>1.3896999999999999</v>
      </c>
      <c r="N37">
        <v>1.3342000000000001</v>
      </c>
      <c r="O37">
        <v>1.5590999999999999</v>
      </c>
      <c r="P37">
        <v>1.3959999999999999</v>
      </c>
      <c r="Q37">
        <v>1.4802999999999999</v>
      </c>
      <c r="R37">
        <v>1.4813000000000001</v>
      </c>
      <c r="S37">
        <v>1.6243000000000001</v>
      </c>
    </row>
    <row r="38" spans="1:19">
      <c r="A38" t="s">
        <v>826</v>
      </c>
      <c r="B38">
        <v>157</v>
      </c>
      <c r="C38">
        <v>2.4359999999999999</v>
      </c>
      <c r="D38">
        <v>0.29110000000000003</v>
      </c>
      <c r="E38">
        <v>2.1107999999999998</v>
      </c>
      <c r="F38">
        <v>0.39040000000000002</v>
      </c>
      <c r="G38" t="s">
        <v>847</v>
      </c>
      <c r="I38" t="s">
        <v>843</v>
      </c>
      <c r="J38">
        <v>1.3836999999999999</v>
      </c>
      <c r="K38">
        <v>1.4454</v>
      </c>
      <c r="L38">
        <v>1.4967999999999999</v>
      </c>
      <c r="M38">
        <v>1.4249000000000001</v>
      </c>
      <c r="N38">
        <v>1.3766</v>
      </c>
      <c r="O38">
        <v>1.6234999999999999</v>
      </c>
      <c r="P38">
        <v>1.4251</v>
      </c>
      <c r="Q38">
        <v>1.5152000000000001</v>
      </c>
      <c r="R38">
        <v>1.4654</v>
      </c>
      <c r="S38">
        <v>1.6632</v>
      </c>
    </row>
    <row r="39" spans="1:19">
      <c r="A39" t="s">
        <v>826</v>
      </c>
      <c r="B39">
        <v>157</v>
      </c>
      <c r="C39">
        <v>2.0329999999999999</v>
      </c>
      <c r="D39">
        <v>0.41160000000000002</v>
      </c>
      <c r="E39">
        <v>1.8683000000000001</v>
      </c>
      <c r="F39">
        <v>0.47339999999999999</v>
      </c>
      <c r="G39" t="s">
        <v>848</v>
      </c>
      <c r="I39" t="s">
        <v>844</v>
      </c>
      <c r="J39">
        <v>1.4499</v>
      </c>
      <c r="K39">
        <v>1.4907999999999999</v>
      </c>
      <c r="L39">
        <v>1.5569999999999999</v>
      </c>
      <c r="M39">
        <v>1.4656</v>
      </c>
      <c r="N39">
        <v>1.3596999999999999</v>
      </c>
      <c r="O39">
        <v>1.6758</v>
      </c>
      <c r="P39">
        <v>1.42</v>
      </c>
      <c r="Q39">
        <v>1.5921000000000001</v>
      </c>
      <c r="R39">
        <v>1.4982</v>
      </c>
      <c r="S39">
        <v>1.7097</v>
      </c>
    </row>
    <row r="40" spans="1:19">
      <c r="A40" t="s">
        <v>826</v>
      </c>
      <c r="B40">
        <v>157</v>
      </c>
      <c r="C40">
        <v>1.7717000000000001</v>
      </c>
      <c r="D40">
        <v>0.48070000000000002</v>
      </c>
      <c r="E40">
        <v>1.6505000000000001</v>
      </c>
      <c r="F40">
        <v>0.52300000000000002</v>
      </c>
      <c r="G40" t="s">
        <v>849</v>
      </c>
    </row>
    <row r="41" spans="1:19">
      <c r="A41" t="s">
        <v>826</v>
      </c>
      <c r="B41">
        <v>157</v>
      </c>
      <c r="C41">
        <v>1.5697000000000001</v>
      </c>
      <c r="D41">
        <v>0.53659999999999997</v>
      </c>
      <c r="E41">
        <v>1.5694999999999999</v>
      </c>
      <c r="F41">
        <v>0.54620000000000002</v>
      </c>
      <c r="G41" t="s">
        <v>850</v>
      </c>
    </row>
    <row r="42" spans="1:19">
      <c r="A42" t="s">
        <v>826</v>
      </c>
      <c r="B42">
        <v>157</v>
      </c>
      <c r="C42">
        <v>1.4228000000000001</v>
      </c>
      <c r="D42">
        <v>0.58140000000000003</v>
      </c>
      <c r="E42">
        <v>1.4494</v>
      </c>
      <c r="F42">
        <v>0.57479999999999998</v>
      </c>
      <c r="G42" t="s">
        <v>851</v>
      </c>
    </row>
    <row r="43" spans="1:19">
      <c r="A43" t="s">
        <v>826</v>
      </c>
      <c r="B43">
        <v>157</v>
      </c>
      <c r="C43">
        <v>1.3159000000000001</v>
      </c>
      <c r="D43">
        <v>0.6119</v>
      </c>
      <c r="E43">
        <v>1.3880999999999999</v>
      </c>
      <c r="F43">
        <v>0.59399999999999997</v>
      </c>
      <c r="G43" t="s">
        <v>852</v>
      </c>
    </row>
    <row r="44" spans="1:19">
      <c r="A44" t="s">
        <v>826</v>
      </c>
      <c r="B44">
        <v>157</v>
      </c>
      <c r="C44">
        <v>1.2344999999999999</v>
      </c>
      <c r="D44">
        <v>0.63529999999999998</v>
      </c>
      <c r="E44">
        <v>1.3588</v>
      </c>
      <c r="F44">
        <v>0.59560000000000002</v>
      </c>
      <c r="G44" t="s">
        <v>853</v>
      </c>
    </row>
    <row r="45" spans="1:19">
      <c r="A45" t="s">
        <v>826</v>
      </c>
      <c r="B45">
        <v>157</v>
      </c>
      <c r="C45">
        <v>1.1662999999999999</v>
      </c>
      <c r="D45">
        <v>0.65300000000000002</v>
      </c>
      <c r="E45">
        <v>1.4071</v>
      </c>
      <c r="F45">
        <v>0.58819999999999995</v>
      </c>
      <c r="G45" t="s">
        <v>854</v>
      </c>
    </row>
    <row r="46" spans="1:19">
      <c r="A46" t="s">
        <v>826</v>
      </c>
      <c r="B46">
        <v>157</v>
      </c>
      <c r="C46">
        <v>1.1043000000000001</v>
      </c>
      <c r="D46">
        <v>0.66900000000000004</v>
      </c>
      <c r="E46">
        <v>1.3697999999999999</v>
      </c>
      <c r="F46">
        <v>0.60019999999999996</v>
      </c>
      <c r="G46" t="s">
        <v>855</v>
      </c>
    </row>
    <row r="47" spans="1:19">
      <c r="A47" t="s">
        <v>826</v>
      </c>
      <c r="B47">
        <v>157</v>
      </c>
      <c r="C47">
        <v>1.0367</v>
      </c>
      <c r="D47">
        <v>0.68840000000000001</v>
      </c>
      <c r="E47">
        <v>1.3767</v>
      </c>
      <c r="F47">
        <v>0.61060000000000003</v>
      </c>
      <c r="G47" t="s">
        <v>836</v>
      </c>
    </row>
    <row r="48" spans="1:19">
      <c r="A48" t="s">
        <v>826</v>
      </c>
      <c r="B48">
        <v>157</v>
      </c>
      <c r="C48">
        <v>0.98929999999999996</v>
      </c>
      <c r="D48">
        <v>0.70640000000000003</v>
      </c>
      <c r="E48">
        <v>1.4049</v>
      </c>
      <c r="F48">
        <v>0.59819999999999995</v>
      </c>
      <c r="G48" t="s">
        <v>837</v>
      </c>
    </row>
    <row r="49" spans="1:7">
      <c r="A49" t="s">
        <v>826</v>
      </c>
      <c r="B49">
        <v>157</v>
      </c>
      <c r="C49">
        <v>0.9405</v>
      </c>
      <c r="D49">
        <v>0.71879999999999999</v>
      </c>
      <c r="E49">
        <v>1.3693</v>
      </c>
      <c r="F49">
        <v>0.61799999999999999</v>
      </c>
      <c r="G49" t="s">
        <v>838</v>
      </c>
    </row>
    <row r="50" spans="1:7">
      <c r="A50" t="s">
        <v>826</v>
      </c>
      <c r="B50">
        <v>157</v>
      </c>
      <c r="C50">
        <v>0.8861</v>
      </c>
      <c r="D50">
        <v>0.73509999999999998</v>
      </c>
      <c r="E50">
        <v>1.3749</v>
      </c>
      <c r="F50">
        <v>0.60440000000000005</v>
      </c>
      <c r="G50" t="s">
        <v>839</v>
      </c>
    </row>
    <row r="51" spans="1:7">
      <c r="A51" t="s">
        <v>826</v>
      </c>
      <c r="B51">
        <v>157</v>
      </c>
      <c r="C51">
        <v>0.84340000000000004</v>
      </c>
      <c r="D51">
        <v>0.74570000000000003</v>
      </c>
      <c r="E51">
        <v>1.407</v>
      </c>
      <c r="F51">
        <v>0.60860000000000003</v>
      </c>
      <c r="G51" t="s">
        <v>840</v>
      </c>
    </row>
    <row r="52" spans="1:7">
      <c r="A52" t="s">
        <v>826</v>
      </c>
      <c r="B52">
        <v>157</v>
      </c>
      <c r="C52">
        <v>0.80259999999999998</v>
      </c>
      <c r="D52">
        <v>0.7581</v>
      </c>
      <c r="E52">
        <v>1.4398</v>
      </c>
      <c r="F52">
        <v>0.61119999999999997</v>
      </c>
      <c r="G52" t="s">
        <v>841</v>
      </c>
    </row>
    <row r="53" spans="1:7">
      <c r="A53" t="s">
        <v>826</v>
      </c>
      <c r="B53">
        <v>157</v>
      </c>
      <c r="C53">
        <v>0.75880000000000003</v>
      </c>
      <c r="D53">
        <v>0.76770000000000005</v>
      </c>
      <c r="E53">
        <v>1.4239999999999999</v>
      </c>
      <c r="F53">
        <v>0.60880000000000001</v>
      </c>
      <c r="G53" t="s">
        <v>842</v>
      </c>
    </row>
    <row r="54" spans="1:7">
      <c r="A54" t="s">
        <v>826</v>
      </c>
      <c r="B54">
        <v>157</v>
      </c>
      <c r="C54">
        <v>0.72699999999999998</v>
      </c>
      <c r="D54">
        <v>0.78220000000000001</v>
      </c>
      <c r="E54">
        <v>1.4454</v>
      </c>
      <c r="F54">
        <v>0.61439999999999995</v>
      </c>
      <c r="G54" t="s">
        <v>843</v>
      </c>
    </row>
    <row r="55" spans="1:7">
      <c r="A55" t="s">
        <v>826</v>
      </c>
      <c r="B55">
        <v>157</v>
      </c>
      <c r="C55">
        <v>0.68869999999999998</v>
      </c>
      <c r="D55">
        <v>0.79159999999999997</v>
      </c>
      <c r="E55">
        <v>1.4907999999999999</v>
      </c>
      <c r="F55">
        <v>0.60680000000000001</v>
      </c>
      <c r="G55" t="s">
        <v>844</v>
      </c>
    </row>
    <row r="56" spans="1:7">
      <c r="A56" t="s">
        <v>827</v>
      </c>
      <c r="B56">
        <v>103</v>
      </c>
      <c r="C56">
        <v>2.4203999999999999</v>
      </c>
      <c r="D56">
        <v>0.29709999999999998</v>
      </c>
      <c r="E56">
        <v>2.1145999999999998</v>
      </c>
      <c r="F56">
        <v>0.39079999999999998</v>
      </c>
      <c r="G56" t="s">
        <v>847</v>
      </c>
    </row>
    <row r="57" spans="1:7">
      <c r="A57" t="s">
        <v>827</v>
      </c>
      <c r="B57">
        <v>103</v>
      </c>
      <c r="C57">
        <v>2.0409000000000002</v>
      </c>
      <c r="D57">
        <v>0.40679999999999999</v>
      </c>
      <c r="E57">
        <v>1.9146000000000001</v>
      </c>
      <c r="F57">
        <v>0.45400000000000001</v>
      </c>
      <c r="G57" t="s">
        <v>848</v>
      </c>
    </row>
    <row r="58" spans="1:7">
      <c r="A58" t="s">
        <v>827</v>
      </c>
      <c r="B58">
        <v>103</v>
      </c>
      <c r="C58">
        <v>1.8245</v>
      </c>
      <c r="D58">
        <v>0.46760000000000002</v>
      </c>
      <c r="E58">
        <v>1.7065999999999999</v>
      </c>
      <c r="F58">
        <v>0.51239999999999997</v>
      </c>
      <c r="G58" t="s">
        <v>849</v>
      </c>
    </row>
    <row r="59" spans="1:7">
      <c r="A59" t="s">
        <v>827</v>
      </c>
      <c r="B59">
        <v>103</v>
      </c>
      <c r="C59">
        <v>1.6298999999999999</v>
      </c>
      <c r="D59">
        <v>0.51990000000000003</v>
      </c>
      <c r="E59">
        <v>1.5935999999999999</v>
      </c>
      <c r="F59">
        <v>0.53559999999999997</v>
      </c>
      <c r="G59" t="s">
        <v>850</v>
      </c>
    </row>
    <row r="60" spans="1:7">
      <c r="A60" t="s">
        <v>827</v>
      </c>
      <c r="B60">
        <v>103</v>
      </c>
      <c r="C60">
        <v>1.5002</v>
      </c>
      <c r="D60">
        <v>0.55620000000000003</v>
      </c>
      <c r="E60">
        <v>1.4843999999999999</v>
      </c>
      <c r="F60">
        <v>0.57220000000000004</v>
      </c>
      <c r="G60" t="s">
        <v>851</v>
      </c>
    </row>
    <row r="61" spans="1:7">
      <c r="A61" t="s">
        <v>827</v>
      </c>
      <c r="B61">
        <v>103</v>
      </c>
      <c r="C61">
        <v>1.3888</v>
      </c>
      <c r="D61">
        <v>0.59509999999999996</v>
      </c>
      <c r="E61">
        <v>1.4315</v>
      </c>
      <c r="F61">
        <v>0.58220000000000005</v>
      </c>
      <c r="G61" t="s">
        <v>852</v>
      </c>
    </row>
    <row r="62" spans="1:7">
      <c r="A62" t="s">
        <v>827</v>
      </c>
      <c r="B62">
        <v>102</v>
      </c>
      <c r="C62">
        <v>1.3098000000000001</v>
      </c>
      <c r="D62">
        <v>0.61609999999999998</v>
      </c>
      <c r="E62">
        <v>1.3734</v>
      </c>
      <c r="F62">
        <v>0.60240000000000005</v>
      </c>
      <c r="G62" t="s">
        <v>853</v>
      </c>
    </row>
    <row r="63" spans="1:7">
      <c r="A63" t="s">
        <v>827</v>
      </c>
      <c r="B63">
        <v>102</v>
      </c>
      <c r="C63">
        <v>1.2522</v>
      </c>
      <c r="D63">
        <v>0.63360000000000005</v>
      </c>
      <c r="E63">
        <v>1.3758999999999999</v>
      </c>
      <c r="F63">
        <v>0.60160000000000002</v>
      </c>
      <c r="G63" t="s">
        <v>854</v>
      </c>
    </row>
    <row r="64" spans="1:7">
      <c r="A64" t="s">
        <v>827</v>
      </c>
      <c r="B64">
        <v>102</v>
      </c>
      <c r="C64">
        <v>1.1882999999999999</v>
      </c>
      <c r="D64">
        <v>0.65080000000000005</v>
      </c>
      <c r="E64">
        <v>1.3381000000000001</v>
      </c>
      <c r="F64">
        <v>0.60499999999999998</v>
      </c>
      <c r="G64" t="s">
        <v>855</v>
      </c>
    </row>
    <row r="65" spans="1:7">
      <c r="A65" t="s">
        <v>827</v>
      </c>
      <c r="B65">
        <v>103</v>
      </c>
      <c r="C65">
        <v>1.1413</v>
      </c>
      <c r="D65">
        <v>0.66279999999999994</v>
      </c>
      <c r="E65">
        <v>1.3515999999999999</v>
      </c>
      <c r="F65">
        <v>0.60880000000000001</v>
      </c>
      <c r="G65" t="s">
        <v>836</v>
      </c>
    </row>
    <row r="66" spans="1:7">
      <c r="A66" t="s">
        <v>827</v>
      </c>
      <c r="B66">
        <v>103</v>
      </c>
      <c r="C66">
        <v>1.0981000000000001</v>
      </c>
      <c r="D66">
        <v>0.6734</v>
      </c>
      <c r="E66">
        <v>1.3022</v>
      </c>
      <c r="F66">
        <v>0.61260000000000003</v>
      </c>
      <c r="G66" t="s">
        <v>837</v>
      </c>
    </row>
    <row r="67" spans="1:7">
      <c r="A67" t="s">
        <v>827</v>
      </c>
      <c r="B67">
        <v>102</v>
      </c>
      <c r="C67">
        <v>1.0454000000000001</v>
      </c>
      <c r="D67">
        <v>0.68759999999999999</v>
      </c>
      <c r="E67">
        <v>1.3408</v>
      </c>
      <c r="F67">
        <v>0.60660000000000003</v>
      </c>
      <c r="G67" t="s">
        <v>838</v>
      </c>
    </row>
    <row r="68" spans="1:7">
      <c r="A68" t="s">
        <v>827</v>
      </c>
      <c r="B68">
        <v>103</v>
      </c>
      <c r="C68">
        <v>1.0075000000000001</v>
      </c>
      <c r="D68">
        <v>0.69989999999999997</v>
      </c>
      <c r="E68">
        <v>1.3291999999999999</v>
      </c>
      <c r="F68">
        <v>0.61019999999999996</v>
      </c>
      <c r="G68" t="s">
        <v>839</v>
      </c>
    </row>
    <row r="69" spans="1:7">
      <c r="A69" t="s">
        <v>827</v>
      </c>
      <c r="B69">
        <v>103</v>
      </c>
      <c r="C69">
        <v>0.97670000000000001</v>
      </c>
      <c r="D69">
        <v>0.70809999999999995</v>
      </c>
      <c r="E69">
        <v>1.3684000000000001</v>
      </c>
      <c r="F69">
        <v>0.61160000000000003</v>
      </c>
      <c r="G69" t="s">
        <v>840</v>
      </c>
    </row>
    <row r="70" spans="1:7">
      <c r="A70" t="s">
        <v>827</v>
      </c>
      <c r="B70">
        <v>102</v>
      </c>
      <c r="C70">
        <v>0.93689999999999996</v>
      </c>
      <c r="D70">
        <v>0.71830000000000005</v>
      </c>
      <c r="E70">
        <v>1.3413999999999999</v>
      </c>
      <c r="F70">
        <v>0.61560000000000004</v>
      </c>
      <c r="G70" t="s">
        <v>841</v>
      </c>
    </row>
    <row r="71" spans="1:7">
      <c r="A71" t="s">
        <v>827</v>
      </c>
      <c r="B71">
        <v>103</v>
      </c>
      <c r="C71">
        <v>0.90259999999999996</v>
      </c>
      <c r="D71">
        <v>0.73360000000000003</v>
      </c>
      <c r="E71">
        <v>1.3342000000000001</v>
      </c>
      <c r="F71">
        <v>0.61660000000000004</v>
      </c>
      <c r="G71" t="s">
        <v>842</v>
      </c>
    </row>
    <row r="72" spans="1:7">
      <c r="A72" t="s">
        <v>827</v>
      </c>
      <c r="B72">
        <v>102</v>
      </c>
      <c r="C72">
        <v>0.87119999999999997</v>
      </c>
      <c r="D72">
        <v>0.7369</v>
      </c>
      <c r="E72">
        <v>1.3766</v>
      </c>
      <c r="F72">
        <v>0.60740000000000005</v>
      </c>
      <c r="G72" t="s">
        <v>843</v>
      </c>
    </row>
    <row r="73" spans="1:7">
      <c r="A73" t="s">
        <v>827</v>
      </c>
      <c r="B73">
        <v>103</v>
      </c>
      <c r="C73">
        <v>0.83840000000000003</v>
      </c>
      <c r="D73">
        <v>0.751</v>
      </c>
      <c r="E73">
        <v>1.3596999999999999</v>
      </c>
      <c r="F73">
        <v>0.61880000000000002</v>
      </c>
      <c r="G73" t="s">
        <v>844</v>
      </c>
    </row>
    <row r="74" spans="1:7">
      <c r="A74" t="s">
        <v>828</v>
      </c>
      <c r="B74">
        <v>78</v>
      </c>
      <c r="C74">
        <v>2.3784999999999998</v>
      </c>
      <c r="D74">
        <v>0.30380000000000001</v>
      </c>
      <c r="E74">
        <v>2.1002000000000001</v>
      </c>
      <c r="F74">
        <v>0.39340000000000003</v>
      </c>
      <c r="G74" t="s">
        <v>847</v>
      </c>
    </row>
    <row r="75" spans="1:7">
      <c r="A75" t="s">
        <v>828</v>
      </c>
      <c r="B75">
        <v>77</v>
      </c>
      <c r="C75">
        <v>1.9362999999999999</v>
      </c>
      <c r="D75">
        <v>0.43109999999999998</v>
      </c>
      <c r="E75">
        <v>1.7986</v>
      </c>
      <c r="F75">
        <v>0.48459999999999998</v>
      </c>
      <c r="G75" t="s">
        <v>848</v>
      </c>
    </row>
    <row r="76" spans="1:7">
      <c r="A76" t="s">
        <v>828</v>
      </c>
      <c r="B76">
        <v>77</v>
      </c>
      <c r="C76">
        <v>1.67</v>
      </c>
      <c r="D76">
        <v>0.51229999999999998</v>
      </c>
      <c r="E76">
        <v>1.607</v>
      </c>
      <c r="F76">
        <v>0.54300000000000004</v>
      </c>
      <c r="G76" t="s">
        <v>849</v>
      </c>
    </row>
    <row r="77" spans="1:7">
      <c r="A77" t="s">
        <v>828</v>
      </c>
      <c r="B77">
        <v>77</v>
      </c>
      <c r="C77">
        <v>1.4725999999999999</v>
      </c>
      <c r="D77">
        <v>0.56759999999999999</v>
      </c>
      <c r="E77">
        <v>1.5169999999999999</v>
      </c>
      <c r="F77">
        <v>0.5696</v>
      </c>
      <c r="G77" t="s">
        <v>850</v>
      </c>
    </row>
    <row r="78" spans="1:7">
      <c r="A78" t="s">
        <v>828</v>
      </c>
      <c r="B78">
        <v>77</v>
      </c>
      <c r="C78">
        <v>1.3461000000000001</v>
      </c>
      <c r="D78">
        <v>0.60650000000000004</v>
      </c>
      <c r="E78">
        <v>1.4381999999999999</v>
      </c>
      <c r="F78">
        <v>0.57899999999999996</v>
      </c>
      <c r="G78" t="s">
        <v>851</v>
      </c>
    </row>
    <row r="79" spans="1:7">
      <c r="A79" t="s">
        <v>828</v>
      </c>
      <c r="B79">
        <v>77</v>
      </c>
      <c r="C79">
        <v>1.2232000000000001</v>
      </c>
      <c r="D79">
        <v>0.63759999999999994</v>
      </c>
      <c r="E79">
        <v>1.4483999999999999</v>
      </c>
      <c r="F79">
        <v>0.59179999999999999</v>
      </c>
      <c r="G79" t="s">
        <v>852</v>
      </c>
    </row>
    <row r="80" spans="1:7">
      <c r="A80" t="s">
        <v>828</v>
      </c>
      <c r="B80">
        <v>77</v>
      </c>
      <c r="C80">
        <v>1.1255999999999999</v>
      </c>
      <c r="D80">
        <v>0.66600000000000004</v>
      </c>
      <c r="E80">
        <v>1.4016999999999999</v>
      </c>
      <c r="F80">
        <v>0.6038</v>
      </c>
      <c r="G80" t="s">
        <v>853</v>
      </c>
    </row>
    <row r="81" spans="1:7">
      <c r="A81" t="s">
        <v>828</v>
      </c>
      <c r="B81">
        <v>77</v>
      </c>
      <c r="C81">
        <v>1.0515000000000001</v>
      </c>
      <c r="D81">
        <v>0.68899999999999995</v>
      </c>
      <c r="E81">
        <v>1.3735999999999999</v>
      </c>
      <c r="F81">
        <v>0.60580000000000001</v>
      </c>
      <c r="G81" t="s">
        <v>854</v>
      </c>
    </row>
    <row r="82" spans="1:7">
      <c r="A82" t="s">
        <v>828</v>
      </c>
      <c r="B82">
        <v>77</v>
      </c>
      <c r="C82">
        <v>0.97709999999999997</v>
      </c>
      <c r="D82">
        <v>0.71250000000000002</v>
      </c>
      <c r="E82">
        <v>1.3859999999999999</v>
      </c>
      <c r="F82">
        <v>0.6038</v>
      </c>
      <c r="G82" t="s">
        <v>855</v>
      </c>
    </row>
    <row r="83" spans="1:7">
      <c r="A83" t="s">
        <v>828</v>
      </c>
      <c r="B83">
        <v>77</v>
      </c>
      <c r="C83">
        <v>0.89970000000000006</v>
      </c>
      <c r="D83">
        <v>0.73340000000000005</v>
      </c>
      <c r="E83">
        <v>1.3894</v>
      </c>
      <c r="F83">
        <v>0.60640000000000005</v>
      </c>
      <c r="G83" t="s">
        <v>836</v>
      </c>
    </row>
    <row r="84" spans="1:7">
      <c r="A84" t="s">
        <v>828</v>
      </c>
      <c r="B84">
        <v>77</v>
      </c>
      <c r="C84">
        <v>0.83109999999999995</v>
      </c>
      <c r="D84">
        <v>0.75290000000000001</v>
      </c>
      <c r="E84">
        <v>1.4049</v>
      </c>
      <c r="F84">
        <v>0.60919999999999996</v>
      </c>
      <c r="G84" t="s">
        <v>837</v>
      </c>
    </row>
    <row r="85" spans="1:7">
      <c r="A85" t="s">
        <v>828</v>
      </c>
      <c r="B85">
        <v>77</v>
      </c>
      <c r="C85">
        <v>0.74839999999999995</v>
      </c>
      <c r="D85">
        <v>0.7792</v>
      </c>
      <c r="E85">
        <v>1.4493</v>
      </c>
      <c r="F85">
        <v>0.6038</v>
      </c>
      <c r="G85" t="s">
        <v>838</v>
      </c>
    </row>
    <row r="86" spans="1:7">
      <c r="A86" t="s">
        <v>828</v>
      </c>
      <c r="B86">
        <v>77</v>
      </c>
      <c r="C86">
        <v>0.68879999999999997</v>
      </c>
      <c r="D86">
        <v>0.79800000000000004</v>
      </c>
      <c r="E86">
        <v>1.4933000000000001</v>
      </c>
      <c r="F86">
        <v>0.60699999999999998</v>
      </c>
      <c r="G86" t="s">
        <v>839</v>
      </c>
    </row>
    <row r="87" spans="1:7">
      <c r="A87" t="s">
        <v>828</v>
      </c>
      <c r="B87">
        <v>77</v>
      </c>
      <c r="C87">
        <v>0.62119999999999997</v>
      </c>
      <c r="D87">
        <v>0.81699999999999995</v>
      </c>
      <c r="E87">
        <v>1.5381</v>
      </c>
      <c r="F87">
        <v>0.6018</v>
      </c>
      <c r="G87" t="s">
        <v>840</v>
      </c>
    </row>
    <row r="88" spans="1:7">
      <c r="A88" t="s">
        <v>828</v>
      </c>
      <c r="B88">
        <v>77</v>
      </c>
      <c r="C88">
        <v>0.56399999999999995</v>
      </c>
      <c r="D88">
        <v>0.83240000000000003</v>
      </c>
      <c r="E88">
        <v>1.5582</v>
      </c>
      <c r="F88">
        <v>0.59619999999999995</v>
      </c>
      <c r="G88" t="s">
        <v>841</v>
      </c>
    </row>
    <row r="89" spans="1:7">
      <c r="A89" t="s">
        <v>828</v>
      </c>
      <c r="B89">
        <v>77</v>
      </c>
      <c r="C89">
        <v>0.50790000000000002</v>
      </c>
      <c r="D89">
        <v>0.85029999999999994</v>
      </c>
      <c r="E89">
        <v>1.6243000000000001</v>
      </c>
      <c r="F89">
        <v>0.59599999999999997</v>
      </c>
      <c r="G89" t="s">
        <v>842</v>
      </c>
    </row>
    <row r="90" spans="1:7">
      <c r="A90" t="s">
        <v>828</v>
      </c>
      <c r="B90">
        <v>77</v>
      </c>
      <c r="C90">
        <v>0.46300000000000002</v>
      </c>
      <c r="D90">
        <v>0.86209999999999998</v>
      </c>
      <c r="E90">
        <v>1.6632</v>
      </c>
      <c r="F90">
        <v>0.59760000000000002</v>
      </c>
      <c r="G90" t="s">
        <v>843</v>
      </c>
    </row>
    <row r="91" spans="1:7">
      <c r="A91" t="s">
        <v>828</v>
      </c>
      <c r="B91">
        <v>77</v>
      </c>
      <c r="C91">
        <v>0.43440000000000001</v>
      </c>
      <c r="D91">
        <v>0.871</v>
      </c>
      <c r="E91">
        <v>1.7097</v>
      </c>
      <c r="F91">
        <v>0.59340000000000004</v>
      </c>
      <c r="G91" t="s">
        <v>844</v>
      </c>
    </row>
    <row r="92" spans="1:7">
      <c r="A92" s="11" t="s">
        <v>829</v>
      </c>
      <c r="B92">
        <v>100</v>
      </c>
      <c r="C92">
        <v>2.6080000000000001</v>
      </c>
      <c r="D92">
        <v>0.23039999999999999</v>
      </c>
      <c r="E92">
        <v>2.3247</v>
      </c>
      <c r="F92">
        <v>0.33479999999999999</v>
      </c>
      <c r="G92" t="s">
        <v>847</v>
      </c>
    </row>
    <row r="93" spans="1:7">
      <c r="A93" s="11" t="s">
        <v>829</v>
      </c>
      <c r="B93">
        <v>100</v>
      </c>
      <c r="C93">
        <v>2.1778</v>
      </c>
      <c r="D93">
        <v>0.36840000000000001</v>
      </c>
      <c r="E93">
        <v>2.0207999999999999</v>
      </c>
      <c r="F93">
        <v>0.41980000000000001</v>
      </c>
      <c r="G93" t="s">
        <v>848</v>
      </c>
    </row>
    <row r="94" spans="1:7">
      <c r="A94" s="11" t="s">
        <v>829</v>
      </c>
      <c r="B94">
        <v>100</v>
      </c>
      <c r="C94">
        <v>1.9439</v>
      </c>
      <c r="D94">
        <v>0.435</v>
      </c>
      <c r="E94">
        <v>1.8315999999999999</v>
      </c>
      <c r="F94">
        <v>0.47860000000000003</v>
      </c>
      <c r="G94" t="s">
        <v>849</v>
      </c>
    </row>
    <row r="95" spans="1:7">
      <c r="A95" s="11" t="s">
        <v>829</v>
      </c>
      <c r="B95">
        <v>100</v>
      </c>
      <c r="C95">
        <v>1.7692000000000001</v>
      </c>
      <c r="D95">
        <v>0.48459999999999998</v>
      </c>
      <c r="E95">
        <v>1.7178</v>
      </c>
      <c r="F95">
        <v>0.51680000000000004</v>
      </c>
      <c r="G95" t="s">
        <v>850</v>
      </c>
    </row>
    <row r="96" spans="1:7">
      <c r="A96" s="11" t="s">
        <v>829</v>
      </c>
      <c r="B96">
        <v>100</v>
      </c>
      <c r="C96">
        <v>1.6420999999999999</v>
      </c>
      <c r="D96">
        <v>0.52459999999999996</v>
      </c>
      <c r="E96">
        <v>1.6272</v>
      </c>
      <c r="F96">
        <v>0.53420000000000001</v>
      </c>
      <c r="G96" t="s">
        <v>851</v>
      </c>
    </row>
    <row r="97" spans="1:7">
      <c r="A97" s="11" t="s">
        <v>829</v>
      </c>
      <c r="B97">
        <v>100</v>
      </c>
      <c r="C97">
        <v>1.5282</v>
      </c>
      <c r="D97">
        <v>0.5554</v>
      </c>
      <c r="E97">
        <v>1.5558000000000001</v>
      </c>
      <c r="F97">
        <v>0.54959999999999998</v>
      </c>
      <c r="G97" t="s">
        <v>852</v>
      </c>
    </row>
    <row r="98" spans="1:7">
      <c r="A98" s="11" t="s">
        <v>829</v>
      </c>
      <c r="B98">
        <v>100</v>
      </c>
      <c r="C98">
        <v>1.4390000000000001</v>
      </c>
      <c r="D98">
        <v>0.5796</v>
      </c>
      <c r="E98">
        <v>1.5186999999999999</v>
      </c>
      <c r="F98">
        <v>0.56340000000000001</v>
      </c>
      <c r="G98" t="s">
        <v>853</v>
      </c>
    </row>
    <row r="99" spans="1:7">
      <c r="A99" s="11" t="s">
        <v>829</v>
      </c>
      <c r="B99">
        <v>100</v>
      </c>
      <c r="C99">
        <v>1.3517999999999999</v>
      </c>
      <c r="D99">
        <v>0.60580000000000001</v>
      </c>
      <c r="E99">
        <v>1.4503999999999999</v>
      </c>
      <c r="F99">
        <v>0.57999999999999996</v>
      </c>
      <c r="G99" t="s">
        <v>854</v>
      </c>
    </row>
    <row r="100" spans="1:7">
      <c r="A100" s="11" t="s">
        <v>829</v>
      </c>
      <c r="B100">
        <v>100</v>
      </c>
      <c r="C100">
        <v>1.2876000000000001</v>
      </c>
      <c r="D100">
        <v>0.62709999999999999</v>
      </c>
      <c r="E100">
        <v>1.4153</v>
      </c>
      <c r="F100">
        <v>0.59079999999999999</v>
      </c>
      <c r="G100" t="s">
        <v>855</v>
      </c>
    </row>
    <row r="101" spans="1:7">
      <c r="A101" s="11" t="s">
        <v>829</v>
      </c>
      <c r="B101">
        <v>100</v>
      </c>
      <c r="C101">
        <v>1.2314000000000001</v>
      </c>
      <c r="D101">
        <v>0.64129999999999998</v>
      </c>
      <c r="E101">
        <v>1.4097</v>
      </c>
      <c r="F101">
        <v>0.59819999999999995</v>
      </c>
      <c r="G101" t="s">
        <v>836</v>
      </c>
    </row>
    <row r="102" spans="1:7">
      <c r="A102" s="11" t="s">
        <v>829</v>
      </c>
      <c r="B102">
        <v>100</v>
      </c>
      <c r="C102">
        <v>1.17</v>
      </c>
      <c r="D102">
        <v>0.66</v>
      </c>
      <c r="E102">
        <v>1.4161999999999999</v>
      </c>
      <c r="F102">
        <v>0.59460000000000002</v>
      </c>
      <c r="G102" t="s">
        <v>837</v>
      </c>
    </row>
    <row r="103" spans="1:7">
      <c r="A103" s="11" t="s">
        <v>829</v>
      </c>
      <c r="B103">
        <v>100</v>
      </c>
      <c r="C103">
        <v>1.1264000000000001</v>
      </c>
      <c r="D103">
        <v>0.66979999999999995</v>
      </c>
      <c r="E103">
        <v>1.3952</v>
      </c>
      <c r="F103">
        <v>0.59499999999999997</v>
      </c>
      <c r="G103" t="s">
        <v>838</v>
      </c>
    </row>
    <row r="104" spans="1:7">
      <c r="A104" s="11" t="s">
        <v>829</v>
      </c>
      <c r="B104">
        <v>100</v>
      </c>
      <c r="C104">
        <v>1.0789</v>
      </c>
      <c r="D104">
        <v>0.6835</v>
      </c>
      <c r="E104">
        <v>1.3756999999999999</v>
      </c>
      <c r="F104">
        <v>0.60360000000000003</v>
      </c>
      <c r="G104" t="s">
        <v>839</v>
      </c>
    </row>
    <row r="105" spans="1:7">
      <c r="A105" s="11" t="s">
        <v>829</v>
      </c>
      <c r="B105">
        <v>100</v>
      </c>
      <c r="C105">
        <v>1.0385</v>
      </c>
      <c r="D105">
        <v>0.69399999999999995</v>
      </c>
      <c r="E105">
        <v>1.3794999999999999</v>
      </c>
      <c r="F105">
        <v>0.5978</v>
      </c>
      <c r="G105" t="s">
        <v>840</v>
      </c>
    </row>
    <row r="106" spans="1:7">
      <c r="A106" s="11" t="s">
        <v>829</v>
      </c>
      <c r="B106">
        <v>100</v>
      </c>
      <c r="C106">
        <v>0.99529999999999996</v>
      </c>
      <c r="D106">
        <v>0.70550000000000002</v>
      </c>
      <c r="E106">
        <v>1.3927</v>
      </c>
      <c r="F106">
        <v>0.60419999999999996</v>
      </c>
      <c r="G106" t="s">
        <v>841</v>
      </c>
    </row>
    <row r="107" spans="1:7">
      <c r="A107" s="11" t="s">
        <v>829</v>
      </c>
      <c r="B107">
        <v>100</v>
      </c>
      <c r="C107">
        <v>0.95579999999999998</v>
      </c>
      <c r="D107">
        <v>0.71989999999999998</v>
      </c>
      <c r="E107">
        <v>1.3959999999999999</v>
      </c>
      <c r="F107">
        <v>0.61339999999999995</v>
      </c>
      <c r="G107" t="s">
        <v>842</v>
      </c>
    </row>
    <row r="108" spans="1:7">
      <c r="A108" s="11" t="s">
        <v>829</v>
      </c>
      <c r="B108">
        <v>100</v>
      </c>
      <c r="C108">
        <v>0.92949999999999999</v>
      </c>
      <c r="D108">
        <v>0.72689999999999999</v>
      </c>
      <c r="E108">
        <v>1.4251</v>
      </c>
      <c r="F108">
        <v>0.60499999999999998</v>
      </c>
      <c r="G108" t="s">
        <v>843</v>
      </c>
    </row>
    <row r="109" spans="1:7">
      <c r="A109" s="11" t="s">
        <v>829</v>
      </c>
      <c r="B109">
        <v>100</v>
      </c>
      <c r="C109">
        <v>0.87719999999999998</v>
      </c>
      <c r="D109">
        <v>0.74280000000000002</v>
      </c>
      <c r="E109">
        <v>1.42</v>
      </c>
      <c r="F109">
        <v>0.60619999999999996</v>
      </c>
      <c r="G109" t="s">
        <v>844</v>
      </c>
    </row>
    <row r="110" spans="1:7">
      <c r="A110" s="11" t="s">
        <v>866</v>
      </c>
      <c r="B110">
        <v>88</v>
      </c>
      <c r="C110">
        <v>2.4234</v>
      </c>
      <c r="D110">
        <v>0.2923</v>
      </c>
      <c r="E110">
        <v>2.1315</v>
      </c>
      <c r="F110">
        <v>0.3962</v>
      </c>
      <c r="G110" t="s">
        <v>847</v>
      </c>
    </row>
    <row r="111" spans="1:7">
      <c r="A111" s="11" t="s">
        <v>866</v>
      </c>
      <c r="B111">
        <v>88</v>
      </c>
      <c r="C111">
        <v>1.9132</v>
      </c>
      <c r="D111">
        <v>0.44290000000000002</v>
      </c>
      <c r="E111">
        <v>1.7894000000000001</v>
      </c>
      <c r="F111">
        <v>0.49320000000000003</v>
      </c>
      <c r="G111" t="s">
        <v>848</v>
      </c>
    </row>
    <row r="112" spans="1:7">
      <c r="A112" s="11" t="s">
        <v>866</v>
      </c>
      <c r="B112">
        <v>88</v>
      </c>
      <c r="C112">
        <v>1.6819</v>
      </c>
      <c r="D112">
        <v>0.5081</v>
      </c>
      <c r="E112">
        <v>1.6462000000000001</v>
      </c>
      <c r="F112">
        <v>0.52259999999999995</v>
      </c>
      <c r="G112" t="s">
        <v>849</v>
      </c>
    </row>
    <row r="113" spans="1:7">
      <c r="A113" s="11" t="s">
        <v>866</v>
      </c>
      <c r="B113">
        <v>88</v>
      </c>
      <c r="C113">
        <v>1.5106999999999999</v>
      </c>
      <c r="D113">
        <v>0.55930000000000002</v>
      </c>
      <c r="E113">
        <v>1.5738000000000001</v>
      </c>
      <c r="F113">
        <v>0.54300000000000004</v>
      </c>
      <c r="G113" t="s">
        <v>850</v>
      </c>
    </row>
    <row r="114" spans="1:7">
      <c r="A114" s="11" t="s">
        <v>866</v>
      </c>
      <c r="B114">
        <v>88</v>
      </c>
      <c r="C114">
        <v>1.3993</v>
      </c>
      <c r="D114">
        <v>0.59370000000000001</v>
      </c>
      <c r="E114">
        <v>1.5382</v>
      </c>
      <c r="F114">
        <v>0.56640000000000001</v>
      </c>
      <c r="G114" t="s">
        <v>851</v>
      </c>
    </row>
    <row r="115" spans="1:7">
      <c r="A115" s="11" t="s">
        <v>866</v>
      </c>
      <c r="B115">
        <v>89</v>
      </c>
      <c r="C115">
        <v>1.2947</v>
      </c>
      <c r="D115">
        <v>0.62429999999999997</v>
      </c>
      <c r="E115">
        <v>1.4690000000000001</v>
      </c>
      <c r="F115">
        <v>0.59199999999999997</v>
      </c>
      <c r="G115" t="s">
        <v>852</v>
      </c>
    </row>
    <row r="116" spans="1:7">
      <c r="A116" s="11" t="s">
        <v>866</v>
      </c>
      <c r="B116">
        <v>88</v>
      </c>
      <c r="C116">
        <v>1.2287999999999999</v>
      </c>
      <c r="D116">
        <v>0.64170000000000005</v>
      </c>
      <c r="E116">
        <v>1.4529000000000001</v>
      </c>
      <c r="F116">
        <v>0.59060000000000001</v>
      </c>
      <c r="G116" t="s">
        <v>853</v>
      </c>
    </row>
    <row r="117" spans="1:7">
      <c r="A117" s="11" t="s">
        <v>866</v>
      </c>
      <c r="B117">
        <v>88</v>
      </c>
      <c r="C117">
        <v>1.1656</v>
      </c>
      <c r="D117">
        <v>0.65920000000000001</v>
      </c>
      <c r="E117">
        <v>1.4435</v>
      </c>
      <c r="F117">
        <v>0.59379999999999999</v>
      </c>
      <c r="G117" t="s">
        <v>854</v>
      </c>
    </row>
    <row r="118" spans="1:7">
      <c r="A118" s="11" t="s">
        <v>866</v>
      </c>
      <c r="B118">
        <v>88</v>
      </c>
      <c r="C118">
        <v>1.1066</v>
      </c>
      <c r="D118">
        <v>0.67710000000000004</v>
      </c>
      <c r="E118">
        <v>1.4369000000000001</v>
      </c>
      <c r="F118">
        <v>0.59940000000000004</v>
      </c>
      <c r="G118" t="s">
        <v>855</v>
      </c>
    </row>
    <row r="119" spans="1:7">
      <c r="A119" s="11" t="s">
        <v>866</v>
      </c>
      <c r="B119">
        <v>88</v>
      </c>
      <c r="C119">
        <v>1.0667</v>
      </c>
      <c r="D119">
        <v>0.68600000000000005</v>
      </c>
      <c r="E119">
        <v>1.419</v>
      </c>
      <c r="F119">
        <v>0.60040000000000004</v>
      </c>
      <c r="G119" t="s">
        <v>836</v>
      </c>
    </row>
    <row r="120" spans="1:7">
      <c r="A120" s="11" t="s">
        <v>866</v>
      </c>
      <c r="B120">
        <v>88</v>
      </c>
      <c r="C120">
        <v>1.0251999999999999</v>
      </c>
      <c r="D120">
        <v>0.69879999999999998</v>
      </c>
      <c r="E120">
        <v>1.4361999999999999</v>
      </c>
      <c r="F120">
        <v>0.59819999999999995</v>
      </c>
      <c r="G120" t="s">
        <v>837</v>
      </c>
    </row>
    <row r="121" spans="1:7">
      <c r="A121" s="11" t="s">
        <v>866</v>
      </c>
      <c r="B121">
        <v>89</v>
      </c>
      <c r="C121">
        <v>0.96809999999999996</v>
      </c>
      <c r="D121">
        <v>0.71719999999999995</v>
      </c>
      <c r="E121">
        <v>1.4242999999999999</v>
      </c>
      <c r="F121">
        <v>0.60399999999999998</v>
      </c>
      <c r="G121" t="s">
        <v>838</v>
      </c>
    </row>
    <row r="122" spans="1:7">
      <c r="A122" s="11" t="s">
        <v>866</v>
      </c>
      <c r="B122">
        <v>89</v>
      </c>
      <c r="C122">
        <v>0.93330000000000002</v>
      </c>
      <c r="D122">
        <v>0.72319999999999995</v>
      </c>
      <c r="E122">
        <v>1.4378</v>
      </c>
      <c r="F122">
        <v>0.58879999999999999</v>
      </c>
      <c r="G122" t="s">
        <v>839</v>
      </c>
    </row>
    <row r="123" spans="1:7">
      <c r="A123" s="11" t="s">
        <v>866</v>
      </c>
      <c r="B123">
        <v>88</v>
      </c>
      <c r="C123">
        <v>0.89259999999999995</v>
      </c>
      <c r="D123">
        <v>0.73599999999999999</v>
      </c>
      <c r="E123">
        <v>1.4529000000000001</v>
      </c>
      <c r="F123">
        <v>0.6</v>
      </c>
      <c r="G123" t="s">
        <v>840</v>
      </c>
    </row>
    <row r="124" spans="1:7">
      <c r="A124" s="11" t="s">
        <v>866</v>
      </c>
      <c r="B124">
        <v>88</v>
      </c>
      <c r="C124">
        <v>0.85119999999999996</v>
      </c>
      <c r="D124">
        <v>0.74750000000000005</v>
      </c>
      <c r="E124">
        <v>1.4388000000000001</v>
      </c>
      <c r="F124">
        <v>0.60160000000000002</v>
      </c>
      <c r="G124" t="s">
        <v>841</v>
      </c>
    </row>
    <row r="125" spans="1:7">
      <c r="A125" s="11" t="s">
        <v>866</v>
      </c>
      <c r="B125">
        <v>88</v>
      </c>
      <c r="C125">
        <v>0.82150000000000001</v>
      </c>
      <c r="D125">
        <v>0.75760000000000005</v>
      </c>
      <c r="E125">
        <v>1.4813000000000001</v>
      </c>
      <c r="F125">
        <v>0.60580000000000001</v>
      </c>
      <c r="G125" t="s">
        <v>842</v>
      </c>
    </row>
    <row r="126" spans="1:7">
      <c r="A126" s="11" t="s">
        <v>866</v>
      </c>
      <c r="B126">
        <v>88</v>
      </c>
      <c r="C126">
        <v>0.78090000000000004</v>
      </c>
      <c r="D126">
        <v>0.77190000000000003</v>
      </c>
      <c r="E126">
        <v>1.4654</v>
      </c>
      <c r="F126">
        <v>0.60899999999999999</v>
      </c>
      <c r="G126" t="s">
        <v>843</v>
      </c>
    </row>
    <row r="127" spans="1:7">
      <c r="A127" s="11" t="s">
        <v>866</v>
      </c>
      <c r="B127">
        <v>88</v>
      </c>
      <c r="C127">
        <v>0.75080000000000002</v>
      </c>
      <c r="D127">
        <v>0.77510000000000001</v>
      </c>
      <c r="E127">
        <v>1.4982</v>
      </c>
      <c r="F127">
        <v>0.59840000000000004</v>
      </c>
      <c r="G127" t="s">
        <v>844</v>
      </c>
    </row>
    <row r="128" spans="1:7">
      <c r="A128" s="11" t="s">
        <v>830</v>
      </c>
      <c r="B128">
        <v>82</v>
      </c>
      <c r="C128">
        <v>2.4361000000000002</v>
      </c>
      <c r="D128">
        <v>0.29020000000000001</v>
      </c>
      <c r="E128">
        <v>2.1621000000000001</v>
      </c>
      <c r="F128">
        <v>0.38159999999999999</v>
      </c>
      <c r="G128" t="s">
        <v>847</v>
      </c>
    </row>
    <row r="129" spans="1:7">
      <c r="A129" s="11" t="s">
        <v>830</v>
      </c>
      <c r="B129">
        <v>83</v>
      </c>
      <c r="C129">
        <v>2.0127000000000002</v>
      </c>
      <c r="D129">
        <v>0.40770000000000001</v>
      </c>
      <c r="E129">
        <v>1.8953</v>
      </c>
      <c r="F129">
        <v>0.45679999999999998</v>
      </c>
      <c r="G129" t="s">
        <v>848</v>
      </c>
    </row>
    <row r="130" spans="1:7">
      <c r="A130" s="11" t="s">
        <v>830</v>
      </c>
      <c r="B130">
        <v>83</v>
      </c>
      <c r="C130">
        <v>1.7641</v>
      </c>
      <c r="D130">
        <v>0.4859</v>
      </c>
      <c r="E130">
        <v>1.7177</v>
      </c>
      <c r="F130">
        <v>0.51719999999999999</v>
      </c>
      <c r="G130" t="s">
        <v>849</v>
      </c>
    </row>
    <row r="131" spans="1:7">
      <c r="A131" s="11" t="s">
        <v>830</v>
      </c>
      <c r="B131">
        <v>83</v>
      </c>
      <c r="C131">
        <v>1.5871999999999999</v>
      </c>
      <c r="D131">
        <v>0.54100000000000004</v>
      </c>
      <c r="E131">
        <v>1.6489</v>
      </c>
      <c r="F131">
        <v>0.52959999999999996</v>
      </c>
      <c r="G131" t="s">
        <v>850</v>
      </c>
    </row>
    <row r="132" spans="1:7">
      <c r="A132" s="11" t="s">
        <v>830</v>
      </c>
      <c r="B132">
        <v>83</v>
      </c>
      <c r="C132">
        <v>1.4728000000000001</v>
      </c>
      <c r="D132">
        <v>0.57420000000000004</v>
      </c>
      <c r="E132">
        <v>1.6413</v>
      </c>
      <c r="F132">
        <v>0.53320000000000001</v>
      </c>
      <c r="G132" t="s">
        <v>851</v>
      </c>
    </row>
    <row r="133" spans="1:7">
      <c r="A133" s="11" t="s">
        <v>830</v>
      </c>
      <c r="B133">
        <v>83</v>
      </c>
      <c r="C133">
        <v>1.3745000000000001</v>
      </c>
      <c r="D133">
        <v>0.6038</v>
      </c>
      <c r="E133">
        <v>1.4983</v>
      </c>
      <c r="F133">
        <v>0.56979999999999997</v>
      </c>
      <c r="G133" t="s">
        <v>852</v>
      </c>
    </row>
    <row r="134" spans="1:7">
      <c r="A134" s="11" t="s">
        <v>830</v>
      </c>
      <c r="B134">
        <v>83</v>
      </c>
      <c r="C134">
        <v>1.2982</v>
      </c>
      <c r="D134">
        <v>0.62590000000000001</v>
      </c>
      <c r="E134">
        <v>1.4862</v>
      </c>
      <c r="F134">
        <v>0.57699999999999996</v>
      </c>
      <c r="G134" t="s">
        <v>853</v>
      </c>
    </row>
    <row r="135" spans="1:7">
      <c r="A135" s="11" t="s">
        <v>830</v>
      </c>
      <c r="B135">
        <v>83</v>
      </c>
      <c r="C135">
        <v>1.2132000000000001</v>
      </c>
      <c r="D135">
        <v>0.64580000000000004</v>
      </c>
      <c r="E135">
        <v>1.4613</v>
      </c>
      <c r="F135">
        <v>0.58819999999999995</v>
      </c>
      <c r="G135" t="s">
        <v>854</v>
      </c>
    </row>
    <row r="136" spans="1:7">
      <c r="A136" s="11" t="s">
        <v>830</v>
      </c>
      <c r="B136">
        <v>83</v>
      </c>
      <c r="C136">
        <v>1.1796</v>
      </c>
      <c r="D136">
        <v>0.65759999999999996</v>
      </c>
      <c r="E136">
        <v>1.4908999999999999</v>
      </c>
      <c r="F136">
        <v>0.5736</v>
      </c>
      <c r="G136" t="s">
        <v>855</v>
      </c>
    </row>
    <row r="137" spans="1:7">
      <c r="A137" s="11" t="s">
        <v>830</v>
      </c>
      <c r="B137">
        <v>83</v>
      </c>
      <c r="C137">
        <v>1.1047</v>
      </c>
      <c r="D137">
        <v>0.67989999999999995</v>
      </c>
      <c r="E137">
        <v>1.4621</v>
      </c>
      <c r="F137">
        <v>0.58199999999999996</v>
      </c>
      <c r="G137" t="s">
        <v>836</v>
      </c>
    </row>
    <row r="138" spans="1:7">
      <c r="A138" s="11" t="s">
        <v>830</v>
      </c>
      <c r="B138">
        <v>83</v>
      </c>
      <c r="C138">
        <v>1.0741000000000001</v>
      </c>
      <c r="D138">
        <v>0.68559999999999999</v>
      </c>
      <c r="E138">
        <v>1.4650000000000001</v>
      </c>
      <c r="F138">
        <v>0.58640000000000003</v>
      </c>
      <c r="G138" t="s">
        <v>837</v>
      </c>
    </row>
    <row r="139" spans="1:7">
      <c r="A139" s="11" t="s">
        <v>830</v>
      </c>
      <c r="B139">
        <v>83</v>
      </c>
      <c r="C139">
        <v>1.0228999999999999</v>
      </c>
      <c r="D139">
        <v>0.70289999999999997</v>
      </c>
      <c r="E139">
        <v>1.4646999999999999</v>
      </c>
      <c r="F139">
        <v>0.59219999999999995</v>
      </c>
      <c r="G139" t="s">
        <v>838</v>
      </c>
    </row>
    <row r="140" spans="1:7">
      <c r="A140" s="11" t="s">
        <v>830</v>
      </c>
      <c r="B140">
        <v>83</v>
      </c>
      <c r="C140">
        <v>0.97450000000000003</v>
      </c>
      <c r="D140">
        <v>0.71379999999999999</v>
      </c>
      <c r="E140">
        <v>1.4743999999999999</v>
      </c>
      <c r="F140">
        <v>0.58320000000000005</v>
      </c>
      <c r="G140" t="s">
        <v>839</v>
      </c>
    </row>
    <row r="141" spans="1:7">
      <c r="A141" s="11" t="s">
        <v>830</v>
      </c>
      <c r="B141">
        <v>83</v>
      </c>
      <c r="C141">
        <v>0.93540000000000001</v>
      </c>
      <c r="D141">
        <v>0.72750000000000004</v>
      </c>
      <c r="E141">
        <v>1.5199</v>
      </c>
      <c r="F141">
        <v>0.57940000000000003</v>
      </c>
      <c r="G141" t="s">
        <v>840</v>
      </c>
    </row>
    <row r="142" spans="1:7">
      <c r="A142" s="11" t="s">
        <v>830</v>
      </c>
      <c r="B142">
        <v>83</v>
      </c>
      <c r="C142">
        <v>0.90010000000000001</v>
      </c>
      <c r="D142">
        <v>0.7409</v>
      </c>
      <c r="E142">
        <v>1.5021</v>
      </c>
      <c r="F142">
        <v>0.59360000000000002</v>
      </c>
      <c r="G142" t="s">
        <v>841</v>
      </c>
    </row>
    <row r="143" spans="1:7">
      <c r="A143" s="11" t="s">
        <v>830</v>
      </c>
      <c r="B143">
        <v>83</v>
      </c>
      <c r="C143">
        <v>0.85750000000000004</v>
      </c>
      <c r="D143">
        <v>0.75129999999999997</v>
      </c>
      <c r="E143">
        <v>1.4802999999999999</v>
      </c>
      <c r="F143">
        <v>0.59060000000000001</v>
      </c>
      <c r="G143" t="s">
        <v>842</v>
      </c>
    </row>
    <row r="144" spans="1:7">
      <c r="A144" s="11" t="s">
        <v>830</v>
      </c>
      <c r="B144">
        <v>83</v>
      </c>
      <c r="C144">
        <v>0.82040000000000002</v>
      </c>
      <c r="D144">
        <v>0.76290000000000002</v>
      </c>
      <c r="E144">
        <v>1.5152000000000001</v>
      </c>
      <c r="F144">
        <v>0.59019999999999995</v>
      </c>
      <c r="G144" t="s">
        <v>843</v>
      </c>
    </row>
    <row r="145" spans="1:7">
      <c r="A145" s="11" t="s">
        <v>830</v>
      </c>
      <c r="B145">
        <v>83</v>
      </c>
      <c r="C145">
        <v>0.79239999999999999</v>
      </c>
      <c r="D145">
        <v>0.76970000000000005</v>
      </c>
      <c r="E145">
        <v>1.5921000000000001</v>
      </c>
      <c r="F145">
        <v>0.58199999999999996</v>
      </c>
      <c r="G145" t="s">
        <v>844</v>
      </c>
    </row>
    <row r="146" spans="1:7">
      <c r="A146" s="11" t="s">
        <v>831</v>
      </c>
      <c r="B146">
        <v>105</v>
      </c>
      <c r="C146">
        <v>2.4150999999999998</v>
      </c>
      <c r="D146">
        <v>0.29549999999999998</v>
      </c>
      <c r="E146">
        <v>2.1082999999999998</v>
      </c>
      <c r="F146">
        <v>0.3846</v>
      </c>
      <c r="G146" t="s">
        <v>847</v>
      </c>
    </row>
    <row r="147" spans="1:7">
      <c r="A147" s="11" t="s">
        <v>831</v>
      </c>
      <c r="B147">
        <v>105</v>
      </c>
      <c r="C147">
        <v>1.998</v>
      </c>
      <c r="D147">
        <v>0.41389999999999999</v>
      </c>
      <c r="E147">
        <v>1.8154999999999999</v>
      </c>
      <c r="F147">
        <v>0.48320000000000002</v>
      </c>
      <c r="G147" t="s">
        <v>848</v>
      </c>
    </row>
    <row r="148" spans="1:7">
      <c r="A148" s="11" t="s">
        <v>831</v>
      </c>
      <c r="B148">
        <v>105</v>
      </c>
      <c r="C148">
        <v>1.7532000000000001</v>
      </c>
      <c r="D148">
        <v>0.48330000000000001</v>
      </c>
      <c r="E148">
        <v>1.6364000000000001</v>
      </c>
      <c r="F148">
        <v>0.53039999999999998</v>
      </c>
      <c r="G148" t="s">
        <v>849</v>
      </c>
    </row>
    <row r="149" spans="1:7">
      <c r="A149" s="11" t="s">
        <v>831</v>
      </c>
      <c r="B149">
        <v>104</v>
      </c>
      <c r="C149">
        <v>1.5496000000000001</v>
      </c>
      <c r="D149">
        <v>0.5444</v>
      </c>
      <c r="E149">
        <v>1.5246999999999999</v>
      </c>
      <c r="F149">
        <v>0.56159999999999999</v>
      </c>
      <c r="G149" t="s">
        <v>850</v>
      </c>
    </row>
    <row r="150" spans="1:7">
      <c r="A150" s="11" t="s">
        <v>831</v>
      </c>
      <c r="B150">
        <v>104</v>
      </c>
      <c r="C150">
        <v>1.4218</v>
      </c>
      <c r="D150">
        <v>0.58260000000000001</v>
      </c>
      <c r="E150">
        <v>1.4446000000000001</v>
      </c>
      <c r="F150">
        <v>0.57699999999999996</v>
      </c>
      <c r="G150" t="s">
        <v>851</v>
      </c>
    </row>
    <row r="151" spans="1:7">
      <c r="A151" s="11" t="s">
        <v>831</v>
      </c>
      <c r="B151">
        <v>104</v>
      </c>
      <c r="C151">
        <v>1.3139000000000001</v>
      </c>
      <c r="D151">
        <v>0.61209999999999998</v>
      </c>
      <c r="E151">
        <v>1.4109</v>
      </c>
      <c r="F151">
        <v>0.58620000000000005</v>
      </c>
      <c r="G151" t="s">
        <v>852</v>
      </c>
    </row>
    <row r="152" spans="1:7">
      <c r="A152" s="11" t="s">
        <v>831</v>
      </c>
      <c r="B152">
        <v>104</v>
      </c>
      <c r="C152">
        <v>1.2303999999999999</v>
      </c>
      <c r="D152">
        <v>0.63449999999999995</v>
      </c>
      <c r="E152">
        <v>1.3628</v>
      </c>
      <c r="F152">
        <v>0.6018</v>
      </c>
      <c r="G152" t="s">
        <v>853</v>
      </c>
    </row>
    <row r="153" spans="1:7">
      <c r="A153" s="11" t="s">
        <v>831</v>
      </c>
      <c r="B153">
        <v>104</v>
      </c>
      <c r="C153">
        <v>1.1595</v>
      </c>
      <c r="D153">
        <v>0.65369999999999995</v>
      </c>
      <c r="E153">
        <v>1.3636999999999999</v>
      </c>
      <c r="F153">
        <v>0.59919999999999995</v>
      </c>
      <c r="G153" t="s">
        <v>854</v>
      </c>
    </row>
    <row r="154" spans="1:7">
      <c r="A154" s="11" t="s">
        <v>831</v>
      </c>
      <c r="B154">
        <v>104</v>
      </c>
      <c r="C154">
        <v>1.1040000000000001</v>
      </c>
      <c r="D154">
        <v>0.67079999999999995</v>
      </c>
      <c r="E154">
        <v>1.3564000000000001</v>
      </c>
      <c r="F154">
        <v>0.6</v>
      </c>
      <c r="G154" t="s">
        <v>855</v>
      </c>
    </row>
    <row r="155" spans="1:7">
      <c r="A155" s="11" t="s">
        <v>831</v>
      </c>
      <c r="B155">
        <v>104</v>
      </c>
      <c r="C155">
        <v>1.0478000000000001</v>
      </c>
      <c r="D155">
        <v>0.69020000000000004</v>
      </c>
      <c r="E155">
        <v>1.3298000000000001</v>
      </c>
      <c r="F155">
        <v>0.61</v>
      </c>
      <c r="G155" t="s">
        <v>836</v>
      </c>
    </row>
    <row r="156" spans="1:7">
      <c r="A156" s="11" t="s">
        <v>831</v>
      </c>
      <c r="B156">
        <v>104</v>
      </c>
      <c r="C156">
        <v>0.99790000000000001</v>
      </c>
      <c r="D156">
        <v>0.69989999999999997</v>
      </c>
      <c r="E156">
        <v>1.3553999999999999</v>
      </c>
      <c r="F156">
        <v>0.61199999999999999</v>
      </c>
      <c r="G156" t="s">
        <v>837</v>
      </c>
    </row>
    <row r="157" spans="1:7">
      <c r="A157" s="11" t="s">
        <v>831</v>
      </c>
      <c r="B157">
        <v>104</v>
      </c>
      <c r="C157">
        <v>0.96619999999999995</v>
      </c>
      <c r="D157">
        <v>0.71189999999999998</v>
      </c>
      <c r="E157">
        <v>1.3511</v>
      </c>
      <c r="F157">
        <v>0.61739999999999995</v>
      </c>
      <c r="G157" t="s">
        <v>838</v>
      </c>
    </row>
    <row r="158" spans="1:7">
      <c r="A158" s="11" t="s">
        <v>831</v>
      </c>
      <c r="B158">
        <v>104</v>
      </c>
      <c r="C158">
        <v>0.91459999999999997</v>
      </c>
      <c r="D158">
        <v>0.72940000000000005</v>
      </c>
      <c r="E158">
        <v>1.3584000000000001</v>
      </c>
      <c r="F158">
        <v>0.61419999999999997</v>
      </c>
      <c r="G158" t="s">
        <v>839</v>
      </c>
    </row>
    <row r="159" spans="1:7">
      <c r="A159" s="11" t="s">
        <v>831</v>
      </c>
      <c r="B159">
        <v>104</v>
      </c>
      <c r="C159">
        <v>0.86560000000000004</v>
      </c>
      <c r="D159">
        <v>0.74219999999999997</v>
      </c>
      <c r="E159">
        <v>1.3608</v>
      </c>
      <c r="F159">
        <v>0.61680000000000001</v>
      </c>
      <c r="G159" t="s">
        <v>840</v>
      </c>
    </row>
    <row r="160" spans="1:7">
      <c r="A160" s="11" t="s">
        <v>831</v>
      </c>
      <c r="B160">
        <v>104</v>
      </c>
      <c r="C160">
        <v>0.82489999999999997</v>
      </c>
      <c r="D160">
        <v>0.75270000000000004</v>
      </c>
      <c r="E160">
        <v>1.3758999999999999</v>
      </c>
      <c r="F160">
        <v>0.623</v>
      </c>
      <c r="G160" t="s">
        <v>841</v>
      </c>
    </row>
    <row r="161" spans="1:7">
      <c r="A161" s="11" t="s">
        <v>831</v>
      </c>
      <c r="B161">
        <v>104</v>
      </c>
      <c r="C161">
        <v>0.78549999999999998</v>
      </c>
      <c r="D161">
        <v>0.76249999999999996</v>
      </c>
      <c r="E161">
        <v>1.3896999999999999</v>
      </c>
      <c r="F161">
        <v>0.62119999999999997</v>
      </c>
      <c r="G161" t="s">
        <v>842</v>
      </c>
    </row>
    <row r="162" spans="1:7">
      <c r="A162" s="11" t="s">
        <v>831</v>
      </c>
      <c r="B162">
        <v>104</v>
      </c>
      <c r="C162">
        <v>0.74850000000000005</v>
      </c>
      <c r="D162">
        <v>0.77669999999999995</v>
      </c>
      <c r="E162">
        <v>1.4249000000000001</v>
      </c>
      <c r="F162">
        <v>0.61160000000000003</v>
      </c>
      <c r="G162" t="s">
        <v>843</v>
      </c>
    </row>
    <row r="163" spans="1:7">
      <c r="A163" s="11" t="s">
        <v>831</v>
      </c>
      <c r="B163">
        <v>104</v>
      </c>
      <c r="C163">
        <v>0.71140000000000003</v>
      </c>
      <c r="D163">
        <v>0.78769999999999996</v>
      </c>
      <c r="E163">
        <v>1.4656</v>
      </c>
      <c r="F163">
        <v>0.60660000000000003</v>
      </c>
      <c r="G163" t="s">
        <v>844</v>
      </c>
    </row>
    <row r="164" spans="1:7">
      <c r="A164" s="11" t="s">
        <v>832</v>
      </c>
      <c r="B164">
        <v>103</v>
      </c>
      <c r="C164">
        <v>2.3889</v>
      </c>
      <c r="D164">
        <v>0.30499999999999999</v>
      </c>
      <c r="E164">
        <v>2.0746000000000002</v>
      </c>
      <c r="F164">
        <v>0.4042</v>
      </c>
      <c r="G164" t="s">
        <v>847</v>
      </c>
    </row>
    <row r="165" spans="1:7">
      <c r="A165" s="11" t="s">
        <v>832</v>
      </c>
      <c r="B165">
        <v>103</v>
      </c>
      <c r="C165">
        <v>1.9678</v>
      </c>
      <c r="D165">
        <v>0.42730000000000001</v>
      </c>
      <c r="E165">
        <v>1.8197000000000001</v>
      </c>
      <c r="F165">
        <v>0.4728</v>
      </c>
      <c r="G165" t="s">
        <v>848</v>
      </c>
    </row>
    <row r="166" spans="1:7">
      <c r="A166" s="11" t="s">
        <v>832</v>
      </c>
      <c r="B166">
        <v>102</v>
      </c>
      <c r="C166">
        <v>1.7089000000000001</v>
      </c>
      <c r="D166">
        <v>0.50029999999999997</v>
      </c>
      <c r="E166">
        <v>1.6184000000000001</v>
      </c>
      <c r="F166">
        <v>0.53339999999999999</v>
      </c>
      <c r="G166" t="s">
        <v>849</v>
      </c>
    </row>
    <row r="167" spans="1:7">
      <c r="A167" s="11" t="s">
        <v>832</v>
      </c>
      <c r="B167">
        <v>102</v>
      </c>
      <c r="C167">
        <v>1.5297000000000001</v>
      </c>
      <c r="D167">
        <v>0.55149999999999999</v>
      </c>
      <c r="E167">
        <v>1.5518000000000001</v>
      </c>
      <c r="F167">
        <v>0.55900000000000005</v>
      </c>
      <c r="G167" t="s">
        <v>850</v>
      </c>
    </row>
    <row r="168" spans="1:7">
      <c r="A168" s="11" t="s">
        <v>832</v>
      </c>
      <c r="B168">
        <v>103</v>
      </c>
      <c r="C168">
        <v>1.3767</v>
      </c>
      <c r="D168">
        <v>0.59550000000000003</v>
      </c>
      <c r="E168">
        <v>1.4441999999999999</v>
      </c>
      <c r="F168">
        <v>0.58899999999999997</v>
      </c>
      <c r="G168" t="s">
        <v>851</v>
      </c>
    </row>
    <row r="169" spans="1:7">
      <c r="A169" s="11" t="s">
        <v>832</v>
      </c>
      <c r="B169">
        <v>102</v>
      </c>
      <c r="C169">
        <v>1.2750999999999999</v>
      </c>
      <c r="D169">
        <v>0.62460000000000004</v>
      </c>
      <c r="E169">
        <v>1.4086000000000001</v>
      </c>
      <c r="F169">
        <v>0.59299999999999997</v>
      </c>
      <c r="G169" t="s">
        <v>852</v>
      </c>
    </row>
    <row r="170" spans="1:7">
      <c r="A170" s="11" t="s">
        <v>832</v>
      </c>
      <c r="B170">
        <v>102</v>
      </c>
      <c r="C170">
        <v>1.1900999999999999</v>
      </c>
      <c r="D170">
        <v>0.64970000000000006</v>
      </c>
      <c r="E170">
        <v>1.3843000000000001</v>
      </c>
      <c r="F170">
        <v>0.5948</v>
      </c>
      <c r="G170" t="s">
        <v>853</v>
      </c>
    </row>
    <row r="171" spans="1:7">
      <c r="A171" s="11" t="s">
        <v>832</v>
      </c>
      <c r="B171">
        <v>103</v>
      </c>
      <c r="C171">
        <v>1.1269</v>
      </c>
      <c r="D171">
        <v>0.66600000000000004</v>
      </c>
      <c r="E171">
        <v>1.3567</v>
      </c>
      <c r="F171">
        <v>0.60799999999999998</v>
      </c>
      <c r="G171" t="s">
        <v>854</v>
      </c>
    </row>
    <row r="172" spans="1:7">
      <c r="A172" s="11" t="s">
        <v>832</v>
      </c>
      <c r="B172">
        <v>103</v>
      </c>
      <c r="C172">
        <v>1.0596000000000001</v>
      </c>
      <c r="D172">
        <v>0.68530000000000002</v>
      </c>
      <c r="E172">
        <v>1.36</v>
      </c>
      <c r="F172">
        <v>0.60019999999999996</v>
      </c>
      <c r="G172" t="s">
        <v>855</v>
      </c>
    </row>
    <row r="173" spans="1:7">
      <c r="A173" s="11" t="s">
        <v>832</v>
      </c>
      <c r="B173">
        <v>103</v>
      </c>
      <c r="C173">
        <v>1.0044</v>
      </c>
      <c r="D173">
        <v>0.69950000000000001</v>
      </c>
      <c r="E173">
        <v>1.3478000000000001</v>
      </c>
      <c r="F173">
        <v>0.60899999999999999</v>
      </c>
      <c r="G173" t="s">
        <v>836</v>
      </c>
    </row>
    <row r="174" spans="1:7">
      <c r="A174" s="11" t="s">
        <v>832</v>
      </c>
      <c r="B174">
        <v>102</v>
      </c>
      <c r="C174">
        <v>0.9415</v>
      </c>
      <c r="D174">
        <v>0.7167</v>
      </c>
      <c r="E174">
        <v>1.3755999999999999</v>
      </c>
      <c r="F174">
        <v>0.60340000000000005</v>
      </c>
      <c r="G174" t="s">
        <v>837</v>
      </c>
    </row>
    <row r="175" spans="1:7">
      <c r="A175" s="11" t="s">
        <v>832</v>
      </c>
      <c r="B175">
        <v>102</v>
      </c>
      <c r="C175">
        <v>0.90410000000000001</v>
      </c>
      <c r="D175">
        <v>0.72919999999999996</v>
      </c>
      <c r="E175">
        <v>1.391</v>
      </c>
      <c r="F175">
        <v>0.60399999999999998</v>
      </c>
      <c r="G175" t="s">
        <v>838</v>
      </c>
    </row>
    <row r="176" spans="1:7">
      <c r="A176" s="11" t="s">
        <v>832</v>
      </c>
      <c r="B176">
        <v>103</v>
      </c>
      <c r="C176">
        <v>0.83609999999999995</v>
      </c>
      <c r="D176">
        <v>0.74929999999999997</v>
      </c>
      <c r="E176">
        <v>1.3968</v>
      </c>
      <c r="F176">
        <v>0.61099999999999999</v>
      </c>
      <c r="G176" t="s">
        <v>839</v>
      </c>
    </row>
    <row r="177" spans="1:7">
      <c r="A177" s="11" t="s">
        <v>832</v>
      </c>
      <c r="B177">
        <v>103</v>
      </c>
      <c r="C177">
        <v>0.79349999999999998</v>
      </c>
      <c r="D177">
        <v>0.76239999999999997</v>
      </c>
      <c r="E177">
        <v>1.4174</v>
      </c>
      <c r="F177">
        <v>0.60499999999999998</v>
      </c>
      <c r="G177" t="s">
        <v>840</v>
      </c>
    </row>
    <row r="178" spans="1:7">
      <c r="A178" s="11" t="s">
        <v>832</v>
      </c>
      <c r="B178">
        <v>103</v>
      </c>
      <c r="C178">
        <v>0.75229999999999997</v>
      </c>
      <c r="D178">
        <v>0.77500000000000002</v>
      </c>
      <c r="E178">
        <v>1.4596</v>
      </c>
      <c r="F178">
        <v>0.60680000000000001</v>
      </c>
      <c r="G178" t="s">
        <v>841</v>
      </c>
    </row>
    <row r="179" spans="1:7">
      <c r="A179" s="11" t="s">
        <v>832</v>
      </c>
      <c r="B179">
        <v>103</v>
      </c>
      <c r="C179">
        <v>0.71130000000000004</v>
      </c>
      <c r="D179">
        <v>0.78710000000000002</v>
      </c>
      <c r="E179">
        <v>1.4601999999999999</v>
      </c>
      <c r="F179">
        <v>0.61260000000000003</v>
      </c>
      <c r="G179" t="s">
        <v>842</v>
      </c>
    </row>
    <row r="180" spans="1:7">
      <c r="A180" s="11" t="s">
        <v>832</v>
      </c>
      <c r="B180">
        <v>103</v>
      </c>
      <c r="C180">
        <v>0.67779999999999996</v>
      </c>
      <c r="D180">
        <v>0.79769999999999996</v>
      </c>
      <c r="E180">
        <v>1.4967999999999999</v>
      </c>
      <c r="F180">
        <v>0.60360000000000003</v>
      </c>
      <c r="G180" t="s">
        <v>843</v>
      </c>
    </row>
    <row r="181" spans="1:7">
      <c r="A181" s="11" t="s">
        <v>832</v>
      </c>
      <c r="B181">
        <v>103</v>
      </c>
      <c r="C181">
        <v>0.6381</v>
      </c>
      <c r="D181">
        <v>0.81030000000000002</v>
      </c>
      <c r="E181">
        <v>1.5569999999999999</v>
      </c>
      <c r="F181">
        <v>0.6018</v>
      </c>
      <c r="G181" t="s">
        <v>844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Main</vt:lpstr>
      <vt:lpstr>GRU</vt:lpstr>
      <vt:lpstr>Revised</vt:lpstr>
      <vt:lpstr>Std_Dev</vt:lpstr>
      <vt:lpstr>Cell Type</vt:lpstr>
      <vt:lpstr>Multilayer</vt:lpstr>
      <vt:lpstr>Input</vt:lpstr>
      <vt:lpstr>Cell Count</vt:lpstr>
      <vt:lpstr>Cell_Count_LSTM</vt:lpstr>
      <vt:lpstr>Cell_Count_GRU</vt:lpstr>
      <vt:lpstr>Recurrent</vt:lpstr>
      <vt:lpstr>Optimizer</vt:lpstr>
      <vt:lpstr>Conclusion</vt:lpstr>
      <vt:lpstr>Raw Values</vt:lpstr>
      <vt:lpstr>Raw Settings</vt:lpstr>
      <vt:lpstr>Sheet9</vt:lpstr>
      <vt:lpstr>Sheet8</vt:lpstr>
    </vt:vector>
  </TitlesOfParts>
  <Company>SchoolMint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Derek Chen</dc:creator>
  <cp:lastModifiedBy>Derek Chen</cp:lastModifiedBy>
  <dcterms:created xsi:type="dcterms:W3CDTF">2016-05-09T15:44:10Z</dcterms:created>
  <dcterms:modified xsi:type="dcterms:W3CDTF">2016-05-12T14:20:07Z</dcterms:modified>
</cp:coreProperties>
</file>